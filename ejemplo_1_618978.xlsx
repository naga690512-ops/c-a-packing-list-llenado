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<sst xmlns="http://schemas.openxmlformats.org/spreadsheetml/2006/main" count="107" uniqueCount="73">
  <si>
    <t xml:space="preserve">PACKING LIST: C&amp;A</t>
  </si>
  <si>
    <t xml:space="preserve">Shipper/Exporter Name:</t>
  </si>
  <si>
    <t xml:space="preserve">CONCEPTOS NANCY SA DE CV</t>
  </si>
  <si>
    <t xml:space="preserve">Shipper Code:</t>
  </si>
  <si>
    <t xml:space="preserve">71111</t>
  </si>
  <si>
    <t xml:space="preserve">Model No:</t>
  </si>
  <si>
    <t xml:space="preserve">3130174</t>
  </si>
  <si>
    <t xml:space="preserve">DIVISION:</t>
  </si>
  <si>
    <t xml:space="preserve">1- MUJER</t>
  </si>
  <si>
    <t xml:space="preserve">Outer box dimensions (in CM)</t>
  </si>
  <si>
    <t xml:space="preserve">PURCHASE ORDER:</t>
  </si>
  <si>
    <t xml:space="preserve">618978</t>
  </si>
  <si>
    <t xml:space="preserve">Dim. 1</t>
  </si>
  <si>
    <t xml:space="preserve">Dim. 2</t>
  </si>
  <si>
    <t xml:space="preserve">Dim. 3</t>
  </si>
  <si>
    <t xml:space="preserve">Dim. 4</t>
  </si>
  <si>
    <t xml:space="preserve">Dim. 5</t>
  </si>
  <si>
    <t xml:space="preserve">Dim. 6</t>
  </si>
  <si>
    <t xml:space="preserve">TOTAL CARTONS:</t>
  </si>
  <si>
    <t xml:space="preserve">Height (cm)</t>
  </si>
  <si>
    <t xml:space="preserve">TOTAL PIECES:</t>
  </si>
  <si>
    <t xml:space="preserve">Length (cm)</t>
  </si>
  <si>
    <t xml:space="preserve">GROSS WEIGHT PER ORDER:</t>
  </si>
  <si>
    <t xml:space="preserve">Width (cm)</t>
  </si>
  <si>
    <t xml:space="preserve">NET WEIGHT PER ORDER:</t>
  </si>
  <si>
    <t xml:space="preserve">total cartons:</t>
  </si>
  <si>
    <t xml:space="preserve">CBM</t>
  </si>
  <si>
    <t xml:space="preserve">INVOICE Number</t>
  </si>
  <si>
    <t xml:space="preserve">DCE//25-26</t>
  </si>
  <si>
    <t xml:space="preserve">Packing Details (Ratio Pack):</t>
  </si>
  <si>
    <t xml:space="preserve">PACK:</t>
  </si>
  <si>
    <t xml:space="preserve">COLOR</t>
  </si>
  <si>
    <t xml:space="preserve">SIZES</t>
  </si>
  <si>
    <t xml:space="preserve">A</t>
  </si>
  <si>
    <t xml:space="preserve">PALO RODA OBSCURO</t>
  </si>
  <si>
    <t xml:space="preserve">6-7</t>
  </si>
  <si>
    <t xml:space="preserve">7-8</t>
  </si>
  <si>
    <t xml:space="preserve">9-10</t>
  </si>
  <si>
    <t xml:space="preserve">11-12</t>
  </si>
  <si>
    <t xml:space="preserve">13-14</t>
  </si>
  <si>
    <t xml:space="preserve">TOTAL</t>
  </si>
  <si>
    <t xml:space="preserve">B</t>
  </si>
  <si>
    <t xml:space="preserve">PACK No. </t>
  </si>
  <si>
    <t xml:space="preserve">PACK</t>
  </si>
  <si>
    <t xml:space="preserve">Number of cartons</t>
  </si>
  <si>
    <t xml:space="preserve">Packs per carton</t>
  </si>
  <si>
    <t xml:space="preserve">Pieces Per Pack</t>
  </si>
  <si>
    <t xml:space="preserve">Packs per PO</t>
  </si>
  <si>
    <t xml:space="preserve">Total Pieces</t>
  </si>
  <si>
    <t xml:space="preserve">Packing Details (Solid Pack):</t>
  </si>
  <si>
    <t xml:space="preserve">C</t>
  </si>
  <si>
    <t xml:space="preserve">ECH</t>
  </si>
  <si>
    <t xml:space="preserve">CH</t>
  </si>
  <si>
    <t xml:space="preserve">M</t>
  </si>
  <si>
    <t xml:space="preserve">G</t>
  </si>
  <si>
    <t xml:space="preserve">EG</t>
  </si>
  <si>
    <t xml:space="preserve">SKU No.</t>
  </si>
  <si>
    <t xml:space="preserve">Number of cartons.</t>
  </si>
  <si>
    <t xml:space="preserve">Pieces per carton</t>
  </si>
  <si>
    <t xml:space="preserve">Pieces to Delivery</t>
  </si>
  <si>
    <t xml:space="preserve">Pieces per PO</t>
  </si>
  <si>
    <t xml:space="preserve">5923690</t>
  </si>
  <si>
    <t xml:space="preserve">5923691</t>
  </si>
  <si>
    <t xml:space="preserve">5923692</t>
  </si>
  <si>
    <t xml:space="preserve">5923693</t>
  </si>
  <si>
    <t xml:space="preserve">5923694</t>
  </si>
  <si>
    <t xml:space="preserve">MIXED</t>
  </si>
  <si>
    <t xml:space="preserve">Packing Summary:</t>
  </si>
  <si>
    <t xml:space="preserve">Total No. of Packs:</t>
  </si>
  <si>
    <t xml:space="preserve">Total carton:</t>
  </si>
  <si>
    <t xml:space="preserve">Total packs per carton:</t>
  </si>
  <si>
    <t xml:space="preserve">Total pcs per pack:</t>
  </si>
  <si>
    <t xml:space="preserve">Total Quantity: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</si>
</sst>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\-mmm"/>
    <numFmt numFmtId="167" formatCode="@"/>
    <numFmt numFmtId="168" formatCode="_(* #,##0.00_);_(* \(#,##0.00\);_(* \-??_);_(@_)"/>
    <numFmt numFmtId="169" formatCode="_(* #,##0_);_(* \(#,##0\);_(* \-??_);_(@_)"/>
  </numFmts>
  <fonts count="3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color theme="2"/>
      <name val="Aptos Display"/>
      <family val="2"/>
      <charset val="1"/>
    </font>
    <font>
      <b val="true"/>
      <sz val="14"/>
      <color theme="5" tint="-0.25"/>
      <name val="Aptos Narrow"/>
      <family val="2"/>
      <charset val="1"/>
    </font>
    <font>
      <b val="true"/>
      <sz val="12"/>
      <color theme="5" tint="-0.25"/>
      <name val="Aptos Narrow"/>
      <family val="2"/>
      <charset val="1"/>
    </font>
    <font>
      <sz val="14"/>
      <color theme="5" tint="-0.25"/>
      <name val="Aptos Narrow"/>
      <family val="2"/>
      <charset val="1"/>
    </font>
    <font>
      <b val="true"/>
      <sz val="14"/>
      <color theme="2"/>
      <name val="Aptos Display"/>
      <family val="2"/>
      <charset val="1"/>
    </font>
    <font>
      <b val="true"/>
      <sz val="14"/>
      <name val="Aptos Display"/>
      <family val="2"/>
      <charset val="1"/>
    </font>
    <font>
      <b val="true"/>
      <sz val="12"/>
      <name val="Aptos Display"/>
      <family val="2"/>
      <charset val="1"/>
    </font>
    <font>
      <sz val="14"/>
      <color theme="6"/>
      <name val="Aptos Narrow"/>
      <family val="2"/>
      <charset val="1"/>
    </font>
    <font>
      <b val="true"/>
      <sz val="10"/>
      <color theme="3" tint="-0.75"/>
      <name val="Aptos Display"/>
      <family val="2"/>
      <charset val="1"/>
    </font>
    <font>
      <sz val="11"/>
      <color theme="3" tint="-0.75"/>
      <name val="Aptos Display"/>
      <family val="2"/>
      <charset val="1"/>
    </font>
    <font>
      <sz val="10"/>
      <color theme="8" tint="-0.5"/>
      <name val="Aptos Display"/>
      <family val="2"/>
      <charset val="1"/>
    </font>
    <font>
      <sz val="11"/>
      <color theme="8" tint="-0.5"/>
      <name val="Aptos Display"/>
      <family val="2"/>
      <charset val="1"/>
    </font>
    <font>
      <b val="true"/>
      <sz val="16"/>
      <color theme="2"/>
      <name val="Aptos Display"/>
      <family val="2"/>
      <charset val="1"/>
    </font>
    <font>
      <b val="true"/>
      <sz val="12"/>
      <color theme="2"/>
      <name val="Aptos Display"/>
      <family val="2"/>
      <charset val="1"/>
    </font>
    <font>
      <b val="true"/>
      <sz val="11"/>
      <color theme="3" tint="-0.75"/>
      <name val="Aptos Display"/>
      <family val="2"/>
      <charset val="1"/>
    </font>
    <font>
      <sz val="11"/>
      <color theme="3" tint="-0.75"/>
      <name val="Aptos Narrow"/>
      <family val="2"/>
      <charset val="1"/>
    </font>
    <font>
      <b val="true"/>
      <sz val="14"/>
      <color theme="6"/>
      <name val="Aptos Display"/>
      <family val="2"/>
      <charset val="1"/>
    </font>
    <font>
      <b val="true"/>
      <sz val="11"/>
      <name val="Aptos Display"/>
      <family val="2"/>
      <charset val="1"/>
    </font>
    <font>
      <b val="true"/>
      <sz val="12"/>
      <color theme="2"/>
      <name val="Aptos Narrow"/>
      <family val="2"/>
      <charset val="1"/>
    </font>
    <font>
      <b val="true"/>
      <sz val="12"/>
      <color theme="3" tint="-0.75"/>
      <name val="Aptos Narrow"/>
      <family val="2"/>
      <charset val="1"/>
    </font>
    <font>
      <b val="true"/>
      <sz val="12"/>
      <color theme="6"/>
      <name val="Aptos Narrow"/>
      <family val="2"/>
      <charset val="1"/>
    </font>
    <font>
      <b val="true"/>
      <sz val="14"/>
      <color theme="6"/>
      <name val="Aptos Narrow"/>
      <family val="2"/>
      <charset val="1"/>
    </font>
    <font>
      <sz val="12"/>
      <color theme="3" tint="-0.75"/>
      <name val="Aptos Narrow"/>
      <family val="2"/>
      <charset val="1"/>
    </font>
    <font>
      <sz val="12"/>
      <color theme="6"/>
      <name val="Aptos Narrow"/>
      <family val="2"/>
      <charset val="1"/>
    </font>
    <font>
      <b val="true"/>
      <sz val="16"/>
      <color theme="2"/>
      <name val="Aptos Narrow"/>
      <family val="2"/>
      <charset val="1"/>
    </font>
    <font>
      <b val="true"/>
      <sz val="14"/>
      <color theme="3" tint="-0.75"/>
      <name val="Aptos Narrow"/>
      <family val="2"/>
      <charset val="1"/>
    </font>
    <font>
      <b val="true"/>
      <sz val="16"/>
      <color theme="6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1" tint="-0.5"/>
        <bgColor rgb="FF333333"/>
      </patternFill>
    </fill>
    <fill>
      <patternFill patternType="solid">
        <fgColor theme="8" tint="0.7999"/>
        <bgColor rgb="FFE5EDEF"/>
      </patternFill>
    </fill>
    <fill>
      <patternFill patternType="solid">
        <fgColor theme="1" tint="0.7999"/>
        <bgColor rgb="FFE5EDEF"/>
      </patternFill>
    </fill>
    <fill>
      <patternFill patternType="solid">
        <fgColor theme="7" tint="0.7999"/>
        <bgColor rgb="FFDAE9EC"/>
      </patternFill>
    </fill>
    <fill>
      <patternFill patternType="solid">
        <fgColor theme="7" tint="-0.5"/>
        <bgColor rgb="FF3B6874"/>
      </patternFill>
    </fill>
    <fill>
      <patternFill patternType="solid">
        <fgColor theme="1" tint="-0.25"/>
        <bgColor rgb="FF3A575B"/>
      </patternFill>
    </fill>
    <fill>
      <patternFill patternType="solid">
        <fgColor theme="3" tint="-0.1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>
        <color theme="0" tint="-0.5"/>
      </right>
      <top/>
      <bottom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theme="0" tint="-0.5"/>
      </right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5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3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1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3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7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2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9" fillId="2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0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31" fillId="5" borderId="2" xfId="15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5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FE5E2"/>
      <rgbColor rgb="FFDAE9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D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B6874"/>
      <rgbColor rgb="FF838588"/>
      <rgbColor rgb="FF27454D"/>
      <rgbColor rgb="FF4E8B9B"/>
      <rgbColor rgb="FF003300"/>
      <rgbColor rgb="FF313031"/>
      <rgbColor rgb="FFB51101"/>
      <rgbColor rgb="FF993366"/>
      <rgbColor rgb="FF3A575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CyA2">
      <a:dk1>
        <a:srgbClr val="4e8b9b"/>
      </a:dk1>
      <a:lt1>
        <a:srgbClr val="ffffff"/>
      </a:lt1>
      <a:dk2>
        <a:srgbClr val="cccccc"/>
      </a:dk2>
      <a:lt2>
        <a:srgbClr val="ffffff"/>
      </a:lt2>
      <a:accent1>
        <a:srgbClr val="4e8b9b"/>
      </a:accent1>
      <a:accent2>
        <a:srgbClr val="414041"/>
      </a:accent2>
      <a:accent3>
        <a:srgbClr val="838588"/>
      </a:accent3>
      <a:accent4>
        <a:srgbClr val="7ea7ad"/>
      </a:accent4>
      <a:accent5>
        <a:srgbClr val="fe7b6e"/>
      </a:accent5>
      <a:accent6>
        <a:srgbClr val="ffffff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4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B12" activeCellId="0" sqref="B12"/>
    </sheetView>
  </sheetViews>
  <sheetFormatPr defaultColWidth="30.453125" defaultRowHeight="14.25" zeroHeight="false" outlineLevelRow="0" outlineLevelCol="0"/>
  <cols>
    <col collapsed="false" customWidth="true" hidden="false" outlineLevel="0" max="1" min="1" style="1" width="43.54"/>
    <col collapsed="false" customWidth="true" hidden="false" outlineLevel="0" max="2" min="2" style="1" width="57"/>
    <col collapsed="false" customWidth="true" hidden="false" outlineLevel="0" max="3" min="3" style="1" width="27.54"/>
    <col collapsed="false" customWidth="true" hidden="false" outlineLevel="0" max="4" min="4" style="1" width="10.18"/>
    <col collapsed="false" customWidth="true" hidden="false" outlineLevel="0" max="6" min="5" style="1" width="10.54"/>
    <col collapsed="false" customWidth="true" hidden="false" outlineLevel="0" max="8" min="7" style="1" width="3.54"/>
    <col collapsed="false" customWidth="true" hidden="false" outlineLevel="0" max="9" min="9" style="1" width="14"/>
    <col collapsed="false" customWidth="true" hidden="false" outlineLevel="0" max="14" min="10" style="1" width="7.18"/>
    <col collapsed="false" customWidth="true" hidden="false" outlineLevel="0" max="15" min="15" style="1" width="10.54"/>
    <col collapsed="false" customWidth="true" hidden="false" outlineLevel="0" max="16" min="16" style="2" width="7.73"/>
    <col collapsed="false" customWidth="false" hidden="false" outlineLevel="0" max="16384" min="17" style="1" width="30.45"/>
  </cols>
  <sheetData>
    <row r="1" customFormat="false" ht="25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8" hidden="false" customHeight="true" outlineLevel="0" collapsed="false">
      <c r="A2" s="4" t="s">
        <v>1</v>
      </c>
      <c r="B2" s="5" t="s">
        <v>2</v>
      </c>
    </row>
    <row r="3" customFormat="false" ht="18" hidden="false" customHeight="true" outlineLevel="0" collapsed="false">
      <c r="A3" s="6" t="s">
        <v>3</v>
      </c>
      <c r="B3" s="7" t="s">
        <v>4</v>
      </c>
    </row>
    <row r="4" customFormat="false" ht="18" hidden="false" customHeight="true" outlineLevel="0" collapsed="false">
      <c r="A4" s="6" t="s">
        <v>5</v>
      </c>
      <c r="B4" s="7" t="s">
        <v>6</v>
      </c>
    </row>
    <row r="5" customFormat="false" ht="18" hidden="false" customHeight="true" outlineLevel="0" collapsed="false">
      <c r="A5" s="8" t="s">
        <v>7</v>
      </c>
      <c r="B5" s="9" t="s">
        <v>8</v>
      </c>
      <c r="I5" s="10" t="s">
        <v>9</v>
      </c>
      <c r="J5" s="10"/>
      <c r="K5" s="10"/>
      <c r="L5" s="10"/>
      <c r="M5" s="10"/>
      <c r="N5" s="10"/>
      <c r="O5" s="10"/>
    </row>
    <row r="6" customFormat="false" ht="18" hidden="false" customHeight="true" outlineLevel="0" collapsed="false">
      <c r="A6" s="8" t="s">
        <v>10</v>
      </c>
      <c r="B6" s="9" t="s">
        <v>11</v>
      </c>
      <c r="I6" s="11"/>
      <c r="J6" s="12" t="s">
        <v>12</v>
      </c>
      <c r="K6" s="12" t="s">
        <v>13</v>
      </c>
      <c r="L6" s="12" t="s">
        <v>14</v>
      </c>
      <c r="M6" s="12" t="s">
        <v>15</v>
      </c>
      <c r="N6" s="12" t="s">
        <v>16</v>
      </c>
      <c r="O6" s="12" t="s">
        <v>17</v>
      </c>
    </row>
    <row r="7" customFormat="false" ht="18" hidden="false" customHeight="true" outlineLevel="0" collapsed="false">
      <c r="A7" s="8" t="s">
        <v>18</v>
      </c>
      <c r="B7" s="13" t="n">
        <f aca="false">C31+C59</f>
        <v>85</v>
      </c>
      <c r="I7" s="14" t="s">
        <v>19</v>
      </c>
      <c r="J7" s="15" t="n">
        <v>30</v>
      </c>
      <c r="K7" s="15" t="n">
        <v>10</v>
      </c>
      <c r="L7" s="15"/>
      <c r="M7" s="15"/>
      <c r="N7" s="15"/>
      <c r="O7" s="15"/>
    </row>
    <row r="8" customFormat="false" ht="18" hidden="false" customHeight="true" outlineLevel="0" collapsed="false">
      <c r="A8" s="8" t="s">
        <v>20</v>
      </c>
      <c r="B8" s="13" t="n">
        <f aca="false">SUM(G31,G59)</f>
        <v>7500</v>
      </c>
      <c r="I8" s="14" t="s">
        <v>21</v>
      </c>
      <c r="J8" s="15" t="n">
        <v>60</v>
      </c>
      <c r="K8" s="15" t="n">
        <v>40</v>
      </c>
      <c r="L8" s="15"/>
      <c r="M8" s="15"/>
      <c r="N8" s="15"/>
      <c r="O8" s="16"/>
    </row>
    <row r="9" customFormat="false" ht="18" hidden="false" customHeight="true" outlineLevel="0" collapsed="false">
      <c r="A9" s="8" t="s">
        <v>22</v>
      </c>
      <c r="B9" s="9"/>
      <c r="I9" s="14" t="s">
        <v>23</v>
      </c>
      <c r="J9" s="15" t="n">
        <v>40</v>
      </c>
      <c r="K9" s="15" t="n">
        <v>30</v>
      </c>
      <c r="L9" s="15"/>
      <c r="M9" s="15"/>
      <c r="N9" s="15"/>
      <c r="O9" s="16"/>
    </row>
    <row r="10" customFormat="false" ht="18" hidden="false" customHeight="true" outlineLevel="0" collapsed="false">
      <c r="A10" s="8" t="s">
        <v>24</v>
      </c>
      <c r="B10" s="9"/>
      <c r="I10" s="17" t="s">
        <v>25</v>
      </c>
      <c r="J10" s="18" t="n">
        <v>14</v>
      </c>
      <c r="K10" s="18" t="n">
        <v>5</v>
      </c>
      <c r="L10" s="18"/>
      <c r="M10" s="18"/>
      <c r="N10" s="18"/>
      <c r="O10" s="18"/>
    </row>
    <row r="11" customFormat="false" ht="18" hidden="false" customHeight="true" outlineLevel="0" collapsed="false">
      <c r="A11" s="8" t="s">
        <v>26</v>
      </c>
      <c r="B11" s="9"/>
    </row>
    <row r="12" customFormat="false" ht="18" hidden="false" customHeight="true" outlineLevel="0" collapsed="false">
      <c r="A12" s="8" t="s">
        <v>27</v>
      </c>
      <c r="B12" s="9" t="s">
        <v>28</v>
      </c>
    </row>
    <row r="13" customFormat="false" ht="14.25" hidden="false" customHeight="false" outlineLevel="0" collapsed="false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customFormat="false" ht="14.25" hidden="false" customHeight="fals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customFormat="false" ht="14.25" hidden="false" customHeight="false" outlineLevel="0" collapsed="false">
      <c r="A15" s="23"/>
    </row>
    <row r="16" customFormat="false" ht="21" hidden="false" customHeight="true" outlineLevel="0" collapsed="false">
      <c r="A16" s="24" t="s">
        <v>29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customFormat="false" ht="15.75" hidden="false" customHeight="true" outlineLevel="0" collapsed="false">
      <c r="A17" s="25" t="s">
        <v>30</v>
      </c>
      <c r="B17" s="25" t="s">
        <v>31</v>
      </c>
      <c r="C17" s="25" t="s">
        <v>32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customFormat="false" ht="14.25" hidden="false" customHeight="false" outlineLevel="0" collapsed="false">
      <c r="A18" s="26" t="s">
        <v>33</v>
      </c>
      <c r="B18" s="26" t="s">
        <v>34</v>
      </c>
      <c r="C18" s="27" t="s">
        <v>35</v>
      </c>
      <c r="D18" s="26" t="s">
        <v>36</v>
      </c>
      <c r="E18" s="26" t="s">
        <v>37</v>
      </c>
      <c r="F18" s="26" t="s">
        <v>38</v>
      </c>
      <c r="G18" s="26" t="s">
        <v>39</v>
      </c>
      <c r="H18" s="26"/>
      <c r="I18" s="28"/>
      <c r="J18" s="28"/>
      <c r="K18" s="28"/>
      <c r="L18" s="28"/>
      <c r="M18" s="28"/>
      <c r="N18" s="28"/>
      <c r="O18" s="28"/>
      <c r="P18" s="29"/>
    </row>
    <row r="19" customFormat="false" ht="18" hidden="false" customHeight="true" outlineLevel="0" collapsed="false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8"/>
      <c r="P19" s="30" t="n">
        <f aca="false">SUM(C19:N19)</f>
        <v>0</v>
      </c>
    </row>
    <row r="20" customFormat="false" ht="14.25" hidden="false" customHeight="false" outlineLevel="0" collapsed="false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customFormat="false" ht="21" hidden="false" customHeight="true" outlineLevel="0" collapsed="false">
      <c r="A21" s="24" t="s">
        <v>29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customFormat="false" ht="15.75" hidden="false" customHeight="true" outlineLevel="0" collapsed="false">
      <c r="A22" s="25" t="s">
        <v>30</v>
      </c>
      <c r="B22" s="25" t="s">
        <v>31</v>
      </c>
      <c r="C22" s="25" t="s">
        <v>32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 t="s">
        <v>40</v>
      </c>
    </row>
    <row r="23" customFormat="false" ht="14.25" hidden="false" customHeight="false" outlineLevel="0" collapsed="false">
      <c r="A23" s="26" t="s">
        <v>41</v>
      </c>
      <c r="B23" s="33" t="str">
        <f aca="false">+B18</f>
        <v>PALO RODA OBSCURO</v>
      </c>
      <c r="C23" s="27" t="s">
        <v>35</v>
      </c>
      <c r="D23" s="26" t="s">
        <v>36</v>
      </c>
      <c r="E23" s="26" t="s">
        <v>37</v>
      </c>
      <c r="F23" s="26" t="s">
        <v>38</v>
      </c>
      <c r="G23" s="26" t="s">
        <v>39</v>
      </c>
      <c r="H23" s="26"/>
      <c r="I23" s="28"/>
      <c r="J23" s="28"/>
      <c r="K23" s="28"/>
      <c r="L23" s="28"/>
      <c r="M23" s="28"/>
      <c r="N23" s="28"/>
      <c r="O23" s="28"/>
      <c r="P23" s="29"/>
    </row>
    <row r="24" customFormat="false" ht="18" hidden="false" customHeight="true" outlineLevel="0" collapsed="false">
      <c r="A24" s="26"/>
      <c r="B24" s="33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30" t="n">
        <f aca="false">SUM(C24:O24)</f>
        <v>0</v>
      </c>
    </row>
    <row r="25" customFormat="false" ht="14.25" hidden="false" customHeight="false" outlineLevel="0" collapsed="false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customFormat="false" ht="31.5" hidden="false" customHeight="true" outlineLevel="0" collapsed="false">
      <c r="A26" s="34" t="s">
        <v>42</v>
      </c>
      <c r="B26" s="34" t="s">
        <v>43</v>
      </c>
      <c r="C26" s="35" t="s">
        <v>44</v>
      </c>
      <c r="D26" s="35" t="s">
        <v>45</v>
      </c>
      <c r="E26" s="35" t="s">
        <v>46</v>
      </c>
      <c r="F26" s="35" t="s">
        <v>47</v>
      </c>
      <c r="G26" s="34" t="s">
        <v>48</v>
      </c>
      <c r="H26" s="34"/>
      <c r="I26" s="34"/>
      <c r="J26" s="34"/>
      <c r="K26" s="34"/>
      <c r="L26" s="34"/>
      <c r="M26" s="34"/>
      <c r="N26" s="34"/>
      <c r="O26" s="34"/>
      <c r="P26" s="34"/>
    </row>
    <row r="27" customFormat="false" ht="15.75" hidden="false" customHeight="true" outlineLevel="0" collapsed="false">
      <c r="A27" s="36"/>
      <c r="B27" s="37" t="s">
        <v>33</v>
      </c>
      <c r="C27" s="37"/>
      <c r="D27" s="37"/>
      <c r="E27" s="37"/>
      <c r="F27" s="37"/>
      <c r="G27" s="38" t="n">
        <f aca="false">C27*D27*E27</f>
        <v>0</v>
      </c>
      <c r="H27" s="38"/>
      <c r="I27" s="38"/>
      <c r="J27" s="38"/>
      <c r="K27" s="38"/>
      <c r="L27" s="38"/>
      <c r="M27" s="38"/>
      <c r="N27" s="38"/>
      <c r="O27" s="38"/>
      <c r="P27" s="38"/>
    </row>
    <row r="28" customFormat="false" ht="15.75" hidden="false" customHeight="true" outlineLevel="0" collapsed="false">
      <c r="A28" s="36"/>
      <c r="B28" s="37" t="s">
        <v>33</v>
      </c>
      <c r="C28" s="37"/>
      <c r="D28" s="37"/>
      <c r="E28" s="37"/>
      <c r="F28" s="37"/>
      <c r="G28" s="38" t="n">
        <f aca="false">C28*D28*E28</f>
        <v>0</v>
      </c>
      <c r="H28" s="38"/>
      <c r="I28" s="38"/>
      <c r="J28" s="38"/>
      <c r="K28" s="38"/>
      <c r="L28" s="38"/>
      <c r="M28" s="38"/>
      <c r="N28" s="38"/>
      <c r="O28" s="38"/>
      <c r="P28" s="38"/>
    </row>
    <row r="29" customFormat="false" ht="15.75" hidden="false" customHeight="true" outlineLevel="0" collapsed="false">
      <c r="A29" s="36"/>
      <c r="B29" s="37" t="s">
        <v>41</v>
      </c>
      <c r="C29" s="37"/>
      <c r="D29" s="37"/>
      <c r="E29" s="37"/>
      <c r="F29" s="37"/>
      <c r="G29" s="38" t="n">
        <f aca="false">C29*D29*E29</f>
        <v>0</v>
      </c>
      <c r="H29" s="38"/>
      <c r="I29" s="38"/>
      <c r="J29" s="38"/>
      <c r="K29" s="38"/>
      <c r="L29" s="38"/>
      <c r="M29" s="38"/>
      <c r="N29" s="38"/>
      <c r="O29" s="38"/>
      <c r="P29" s="38"/>
    </row>
    <row r="30" customFormat="false" ht="15.75" hidden="false" customHeight="true" outlineLevel="0" collapsed="false">
      <c r="A30" s="36"/>
      <c r="B30" s="37" t="s">
        <v>41</v>
      </c>
      <c r="C30" s="37"/>
      <c r="D30" s="37"/>
      <c r="E30" s="37"/>
      <c r="F30" s="37"/>
      <c r="G30" s="38" t="n">
        <f aca="false">C30*D30*E30</f>
        <v>0</v>
      </c>
      <c r="H30" s="38"/>
      <c r="I30" s="38"/>
      <c r="J30" s="38"/>
      <c r="K30" s="38"/>
      <c r="L30" s="38"/>
      <c r="M30" s="38"/>
      <c r="N30" s="38"/>
      <c r="O30" s="38"/>
      <c r="P30" s="38"/>
    </row>
    <row r="31" customFormat="false" ht="18" hidden="false" customHeight="true" outlineLevel="0" collapsed="false">
      <c r="A31" s="39" t="str">
        <f aca="false">_xlfn.CONCAT("Total = ", COUNTA(A27:A30))</f>
        <v>Total = 0</v>
      </c>
      <c r="B31" s="40"/>
      <c r="C31" s="39" t="n">
        <f aca="false">SUM(C27:C30)</f>
        <v>0</v>
      </c>
      <c r="D31" s="39" t="n">
        <f aca="false">SUM(D27:D30)</f>
        <v>0</v>
      </c>
      <c r="E31" s="39" t="n">
        <f aca="false">SUM(E27:E30)</f>
        <v>0</v>
      </c>
      <c r="F31" s="39"/>
      <c r="G31" s="41" t="n">
        <f aca="false">SUM(G27:P30)</f>
        <v>0</v>
      </c>
      <c r="H31" s="41"/>
      <c r="I31" s="41"/>
      <c r="J31" s="41"/>
      <c r="K31" s="41"/>
      <c r="L31" s="41"/>
      <c r="M31" s="41"/>
      <c r="N31" s="41"/>
      <c r="O31" s="41"/>
      <c r="P31" s="41"/>
    </row>
    <row r="32" customFormat="false" ht="14.25" hidden="false" customHeight="false" outlineLevel="0" collapsed="false">
      <c r="A32" s="23"/>
    </row>
    <row r="33" customFormat="false" ht="14.25" hidden="false" customHeight="false" outlineLevel="0" collapsed="false">
      <c r="A33" s="23"/>
    </row>
    <row r="34" customFormat="false" ht="21" hidden="false" customHeight="true" outlineLevel="0" collapsed="false">
      <c r="A34" s="24" t="s">
        <v>49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customFormat="false" ht="15.75" hidden="false" customHeight="true" outlineLevel="0" collapsed="false">
      <c r="A35" s="25" t="s">
        <v>30</v>
      </c>
      <c r="B35" s="25" t="s">
        <v>31</v>
      </c>
      <c r="C35" s="25" t="s">
        <v>32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 t="s">
        <v>40</v>
      </c>
    </row>
    <row r="36" customFormat="false" ht="14.25" hidden="false" customHeight="false" outlineLevel="0" collapsed="false">
      <c r="A36" s="26" t="s">
        <v>50</v>
      </c>
      <c r="B36" s="33" t="str">
        <f aca="false">+B23</f>
        <v>PALO RODA OBSCURO</v>
      </c>
      <c r="C36" s="27" t="s">
        <v>51</v>
      </c>
      <c r="D36" s="26" t="s">
        <v>52</v>
      </c>
      <c r="E36" s="26" t="s">
        <v>53</v>
      </c>
      <c r="F36" s="26" t="s">
        <v>54</v>
      </c>
      <c r="G36" s="26" t="s">
        <v>55</v>
      </c>
      <c r="H36" s="26"/>
      <c r="I36" s="28"/>
      <c r="J36" s="28"/>
      <c r="K36" s="28"/>
      <c r="L36" s="28"/>
      <c r="M36" s="28"/>
      <c r="N36" s="28"/>
      <c r="O36" s="26"/>
      <c r="P36" s="29"/>
    </row>
    <row r="37" customFormat="false" ht="18" hidden="false" customHeight="true" outlineLevel="0" collapsed="false">
      <c r="A37" s="26"/>
      <c r="B37" s="33"/>
      <c r="C37" s="26" t="n">
        <v>1500</v>
      </c>
      <c r="D37" s="26" t="n">
        <v>1650</v>
      </c>
      <c r="E37" s="26" t="n">
        <v>2475</v>
      </c>
      <c r="F37" s="26" t="n">
        <v>975</v>
      </c>
      <c r="G37" s="26" t="n">
        <v>900</v>
      </c>
      <c r="H37" s="26"/>
      <c r="I37" s="26"/>
      <c r="J37" s="26"/>
      <c r="K37" s="26"/>
      <c r="L37" s="26"/>
      <c r="M37" s="26"/>
      <c r="N37" s="26"/>
      <c r="O37" s="26"/>
      <c r="P37" s="30" t="n">
        <f aca="false">SUM(C37:O37)</f>
        <v>7500</v>
      </c>
    </row>
    <row r="38" customFormat="false" ht="14.25" hidden="false" customHeight="false" outlineLevel="0" collapsed="false">
      <c r="A38" s="23"/>
    </row>
    <row r="39" customFormat="false" ht="31.5" hidden="false" customHeight="true" outlineLevel="0" collapsed="false">
      <c r="A39" s="34" t="s">
        <v>56</v>
      </c>
      <c r="B39" s="34" t="s">
        <v>43</v>
      </c>
      <c r="C39" s="35" t="s">
        <v>57</v>
      </c>
      <c r="D39" s="35" t="s">
        <v>58</v>
      </c>
      <c r="E39" s="35" t="s">
        <v>59</v>
      </c>
      <c r="F39" s="35" t="s">
        <v>60</v>
      </c>
      <c r="G39" s="34" t="s">
        <v>48</v>
      </c>
      <c r="H39" s="34"/>
      <c r="I39" s="34"/>
      <c r="J39" s="34"/>
      <c r="K39" s="34"/>
      <c r="L39" s="34"/>
      <c r="M39" s="34"/>
      <c r="N39" s="34"/>
      <c r="O39" s="34"/>
      <c r="P39" s="34"/>
    </row>
    <row r="40" customFormat="false" ht="15.75" hidden="false" customHeight="true" outlineLevel="0" collapsed="false">
      <c r="A40" s="42" t="s">
        <v>61</v>
      </c>
      <c r="B40" s="37" t="s">
        <v>50</v>
      </c>
      <c r="C40" s="42" t="n">
        <v>16</v>
      </c>
      <c r="D40" s="42" t="n">
        <v>90</v>
      </c>
      <c r="E40" s="42" t="n">
        <v>1500</v>
      </c>
      <c r="F40" s="42" t="n">
        <v>1500</v>
      </c>
      <c r="G40" s="43" t="n">
        <f aca="false">C40*D40</f>
        <v>1440</v>
      </c>
      <c r="H40" s="43"/>
      <c r="I40" s="43"/>
      <c r="J40" s="43"/>
      <c r="K40" s="43"/>
      <c r="L40" s="43"/>
      <c r="M40" s="43"/>
      <c r="N40" s="43"/>
      <c r="O40" s="43"/>
      <c r="P40" s="43"/>
    </row>
    <row r="41" customFormat="false" ht="15.75" hidden="false" customHeight="true" outlineLevel="0" collapsed="false">
      <c r="A41" s="42" t="s">
        <v>61</v>
      </c>
      <c r="B41" s="37" t="s">
        <v>50</v>
      </c>
      <c r="C41" s="42" t="n">
        <v>1</v>
      </c>
      <c r="D41" s="42" t="n">
        <v>60</v>
      </c>
      <c r="E41" s="42" t="n">
        <v>1500</v>
      </c>
      <c r="F41" s="42" t="n">
        <v>1500</v>
      </c>
      <c r="G41" s="43" t="n">
        <f aca="false">C41*D41</f>
        <v>60</v>
      </c>
      <c r="H41" s="43"/>
      <c r="I41" s="43"/>
      <c r="J41" s="43"/>
      <c r="K41" s="43"/>
      <c r="L41" s="43"/>
      <c r="M41" s="43"/>
      <c r="N41" s="43"/>
      <c r="O41" s="43"/>
      <c r="P41" s="43"/>
    </row>
    <row r="42" customFormat="false" ht="15.75" hidden="false" customHeight="true" outlineLevel="0" collapsed="false">
      <c r="A42" s="42" t="s">
        <v>62</v>
      </c>
      <c r="B42" s="37" t="s">
        <v>50</v>
      </c>
      <c r="C42" s="42" t="n">
        <v>18</v>
      </c>
      <c r="D42" s="42" t="n">
        <v>90</v>
      </c>
      <c r="E42" s="42" t="n">
        <v>1650</v>
      </c>
      <c r="F42" s="42" t="n">
        <v>1650</v>
      </c>
      <c r="G42" s="43" t="n">
        <f aca="false">C42*D42</f>
        <v>1620</v>
      </c>
      <c r="H42" s="43"/>
      <c r="I42" s="43"/>
      <c r="J42" s="43"/>
      <c r="K42" s="43"/>
      <c r="L42" s="43"/>
      <c r="M42" s="43"/>
      <c r="N42" s="43"/>
      <c r="O42" s="43"/>
      <c r="P42" s="43"/>
    </row>
    <row r="43" customFormat="false" ht="15.75" hidden="false" customHeight="true" outlineLevel="0" collapsed="false">
      <c r="A43" s="42" t="s">
        <v>62</v>
      </c>
      <c r="B43" s="37" t="s">
        <v>50</v>
      </c>
      <c r="C43" s="42" t="n">
        <v>1</v>
      </c>
      <c r="D43" s="42" t="n">
        <v>30</v>
      </c>
      <c r="E43" s="42" t="n">
        <v>1650</v>
      </c>
      <c r="F43" s="42" t="n">
        <v>1650</v>
      </c>
      <c r="G43" s="43" t="n">
        <f aca="false">C43*D43</f>
        <v>30</v>
      </c>
      <c r="H43" s="43"/>
      <c r="I43" s="43"/>
      <c r="J43" s="43"/>
      <c r="K43" s="43"/>
      <c r="L43" s="43"/>
      <c r="M43" s="43"/>
      <c r="N43" s="43"/>
      <c r="O43" s="43"/>
      <c r="P43" s="43"/>
    </row>
    <row r="44" customFormat="false" ht="15.75" hidden="false" customHeight="true" outlineLevel="0" collapsed="false">
      <c r="A44" s="42" t="s">
        <v>63</v>
      </c>
      <c r="B44" s="37" t="s">
        <v>50</v>
      </c>
      <c r="C44" s="42" t="n">
        <v>27</v>
      </c>
      <c r="D44" s="42" t="n">
        <v>90</v>
      </c>
      <c r="E44" s="42" t="n">
        <v>2475</v>
      </c>
      <c r="F44" s="42" t="n">
        <v>2475</v>
      </c>
      <c r="G44" s="43" t="n">
        <f aca="false">C44*D44</f>
        <v>2430</v>
      </c>
      <c r="H44" s="43"/>
      <c r="I44" s="43"/>
      <c r="J44" s="43"/>
      <c r="K44" s="43"/>
      <c r="L44" s="43"/>
      <c r="M44" s="43"/>
      <c r="N44" s="43"/>
      <c r="O44" s="43"/>
      <c r="P44" s="43"/>
    </row>
    <row r="45" customFormat="false" ht="15.75" hidden="false" customHeight="true" outlineLevel="0" collapsed="false">
      <c r="A45" s="42" t="s">
        <v>63</v>
      </c>
      <c r="B45" s="37" t="s">
        <v>50</v>
      </c>
      <c r="C45" s="42" t="n">
        <v>1</v>
      </c>
      <c r="D45" s="42" t="n">
        <v>45</v>
      </c>
      <c r="E45" s="42" t="n">
        <v>2475</v>
      </c>
      <c r="F45" s="42" t="n">
        <v>2475</v>
      </c>
      <c r="G45" s="43" t="n">
        <f aca="false">C45*D45</f>
        <v>45</v>
      </c>
      <c r="H45" s="43"/>
      <c r="I45" s="43"/>
      <c r="J45" s="43"/>
      <c r="K45" s="43"/>
      <c r="L45" s="43"/>
      <c r="M45" s="43"/>
      <c r="N45" s="43"/>
      <c r="O45" s="43"/>
      <c r="P45" s="43"/>
    </row>
    <row r="46" customFormat="false" ht="15.75" hidden="false" customHeight="true" outlineLevel="0" collapsed="false">
      <c r="A46" s="42" t="s">
        <v>64</v>
      </c>
      <c r="B46" s="37" t="s">
        <v>50</v>
      </c>
      <c r="C46" s="42" t="n">
        <v>10</v>
      </c>
      <c r="D46" s="42" t="n">
        <v>90</v>
      </c>
      <c r="E46" s="42" t="n">
        <v>975</v>
      </c>
      <c r="F46" s="42" t="n">
        <v>975</v>
      </c>
      <c r="G46" s="43" t="n">
        <f aca="false">C46*D46</f>
        <v>900</v>
      </c>
      <c r="H46" s="43"/>
      <c r="I46" s="43"/>
      <c r="J46" s="43"/>
      <c r="K46" s="43"/>
      <c r="L46" s="43"/>
      <c r="M46" s="43"/>
      <c r="N46" s="43"/>
      <c r="O46" s="43"/>
      <c r="P46" s="43"/>
    </row>
    <row r="47" customFormat="false" ht="15.75" hidden="false" customHeight="true" outlineLevel="0" collapsed="false">
      <c r="A47" s="42" t="s">
        <v>64</v>
      </c>
      <c r="B47" s="42" t="s">
        <v>50</v>
      </c>
      <c r="C47" s="42" t="n">
        <v>1</v>
      </c>
      <c r="D47" s="42" t="n">
        <v>75</v>
      </c>
      <c r="E47" s="42" t="n">
        <v>975</v>
      </c>
      <c r="F47" s="42" t="n">
        <v>975</v>
      </c>
      <c r="G47" s="43" t="n">
        <f aca="false">C47*D47</f>
        <v>75</v>
      </c>
      <c r="H47" s="43"/>
      <c r="I47" s="43"/>
      <c r="J47" s="43"/>
      <c r="K47" s="43"/>
      <c r="L47" s="43"/>
      <c r="M47" s="43"/>
      <c r="N47" s="43"/>
      <c r="O47" s="43"/>
      <c r="P47" s="43"/>
    </row>
    <row r="48" customFormat="false" ht="15.75" hidden="false" customHeight="true" outlineLevel="0" collapsed="false">
      <c r="A48" s="42" t="s">
        <v>65</v>
      </c>
      <c r="B48" s="42" t="s">
        <v>50</v>
      </c>
      <c r="C48" s="42" t="n">
        <v>10</v>
      </c>
      <c r="D48" s="42" t="n">
        <v>90</v>
      </c>
      <c r="E48" s="42" t="n">
        <v>900</v>
      </c>
      <c r="F48" s="42" t="n">
        <v>900</v>
      </c>
      <c r="G48" s="43" t="n">
        <f aca="false">C48*D48</f>
        <v>900</v>
      </c>
      <c r="H48" s="43"/>
      <c r="I48" s="43"/>
      <c r="J48" s="43"/>
      <c r="K48" s="43"/>
      <c r="L48" s="43"/>
      <c r="M48" s="43"/>
      <c r="N48" s="43"/>
      <c r="O48" s="43"/>
      <c r="P48" s="43"/>
    </row>
    <row r="49" customFormat="false" ht="15.75" hidden="false" customHeight="true" outlineLevel="0" collapsed="false">
      <c r="A49" s="42"/>
      <c r="B49" s="42"/>
      <c r="C49" s="42"/>
      <c r="D49" s="42"/>
      <c r="E49" s="42"/>
      <c r="F49" s="42"/>
      <c r="G49" s="43" t="n">
        <f aca="false">C49*D49</f>
        <v>0</v>
      </c>
      <c r="H49" s="43"/>
      <c r="I49" s="43"/>
      <c r="J49" s="43"/>
      <c r="K49" s="43"/>
      <c r="L49" s="43"/>
      <c r="M49" s="43"/>
      <c r="N49" s="43"/>
      <c r="O49" s="43"/>
      <c r="P49" s="43"/>
    </row>
    <row r="50" customFormat="false" ht="15.75" hidden="false" customHeight="true" outlineLevel="0" collapsed="false">
      <c r="A50" s="42"/>
      <c r="B50" s="42"/>
      <c r="C50" s="42"/>
      <c r="D50" s="42"/>
      <c r="E50" s="42"/>
      <c r="F50" s="42"/>
      <c r="G50" s="43" t="n">
        <f aca="false">C50*D50</f>
        <v>0</v>
      </c>
      <c r="H50" s="43"/>
      <c r="I50" s="43"/>
      <c r="J50" s="43"/>
      <c r="K50" s="43"/>
      <c r="L50" s="43"/>
      <c r="M50" s="43"/>
      <c r="N50" s="43"/>
      <c r="O50" s="43"/>
      <c r="P50" s="43"/>
    </row>
    <row r="51" customFormat="false" ht="15.75" hidden="false" customHeight="true" outlineLevel="0" collapsed="false">
      <c r="A51" s="42"/>
      <c r="B51" s="42"/>
      <c r="C51" s="42"/>
      <c r="D51" s="42"/>
      <c r="E51" s="42"/>
      <c r="F51" s="42"/>
      <c r="G51" s="43" t="n">
        <f aca="false">C51*D51</f>
        <v>0</v>
      </c>
      <c r="H51" s="43"/>
      <c r="I51" s="43"/>
      <c r="J51" s="43"/>
      <c r="K51" s="43"/>
      <c r="L51" s="43"/>
      <c r="M51" s="43"/>
      <c r="N51" s="43"/>
      <c r="O51" s="43"/>
      <c r="P51" s="43"/>
    </row>
    <row r="52" customFormat="false" ht="15.75" hidden="false" customHeight="true" outlineLevel="0" collapsed="false">
      <c r="A52" s="42"/>
      <c r="B52" s="42"/>
      <c r="C52" s="42"/>
      <c r="D52" s="42"/>
      <c r="E52" s="42"/>
      <c r="F52" s="42"/>
      <c r="G52" s="43" t="n">
        <f aca="false">C52*D52</f>
        <v>0</v>
      </c>
      <c r="H52" s="43"/>
      <c r="I52" s="43"/>
      <c r="J52" s="43"/>
      <c r="K52" s="43"/>
      <c r="L52" s="43"/>
      <c r="M52" s="43"/>
      <c r="N52" s="43"/>
      <c r="O52" s="43"/>
      <c r="P52" s="43"/>
    </row>
    <row r="53" customFormat="false" ht="15.75" hidden="false" customHeight="true" outlineLevel="0" collapsed="false">
      <c r="A53" s="42"/>
      <c r="B53" s="42"/>
      <c r="C53" s="42"/>
      <c r="D53" s="42"/>
      <c r="E53" s="42"/>
      <c r="F53" s="42"/>
      <c r="G53" s="43" t="n">
        <f aca="false">C53*D53</f>
        <v>0</v>
      </c>
      <c r="H53" s="43"/>
      <c r="I53" s="43"/>
      <c r="J53" s="43"/>
      <c r="K53" s="43"/>
      <c r="L53" s="43"/>
      <c r="M53" s="43"/>
      <c r="N53" s="43"/>
      <c r="O53" s="43"/>
      <c r="P53" s="43"/>
    </row>
    <row r="54" customFormat="false" ht="15.75" hidden="false" customHeight="true" outlineLevel="0" collapsed="false">
      <c r="A54" s="42"/>
      <c r="B54" s="42"/>
      <c r="C54" s="42"/>
      <c r="D54" s="42"/>
      <c r="E54" s="42"/>
      <c r="F54" s="42"/>
      <c r="G54" s="43" t="n">
        <f aca="false">C54*D54</f>
        <v>0</v>
      </c>
      <c r="H54" s="43"/>
      <c r="I54" s="43"/>
      <c r="J54" s="43"/>
      <c r="K54" s="43"/>
      <c r="L54" s="43"/>
      <c r="M54" s="43"/>
      <c r="N54" s="43"/>
      <c r="O54" s="43"/>
      <c r="P54" s="43"/>
    </row>
    <row r="55" customFormat="false" ht="15.75" hidden="false" customHeight="true" outlineLevel="0" collapsed="false">
      <c r="A55" s="42"/>
      <c r="B55" s="42"/>
      <c r="C55" s="42"/>
      <c r="D55" s="42"/>
      <c r="E55" s="42"/>
      <c r="F55" s="42"/>
      <c r="G55" s="43" t="n">
        <f aca="false">C55*D55</f>
        <v>0</v>
      </c>
      <c r="H55" s="43"/>
      <c r="I55" s="43"/>
      <c r="J55" s="43"/>
      <c r="K55" s="43"/>
      <c r="L55" s="43"/>
      <c r="M55" s="43"/>
      <c r="N55" s="43"/>
      <c r="O55" s="43"/>
      <c r="P55" s="43"/>
    </row>
    <row r="56" customFormat="false" ht="15.75" hidden="false" customHeight="true" outlineLevel="0" collapsed="false">
      <c r="A56" s="44"/>
      <c r="B56" s="45" t="s">
        <v>66</v>
      </c>
      <c r="C56" s="46"/>
      <c r="D56" s="44"/>
      <c r="E56" s="44"/>
      <c r="F56" s="46"/>
      <c r="G56" s="43" t="n">
        <f aca="false">E56</f>
        <v>0</v>
      </c>
      <c r="H56" s="43"/>
      <c r="I56" s="43"/>
      <c r="J56" s="43"/>
      <c r="K56" s="43"/>
      <c r="L56" s="43"/>
      <c r="M56" s="43"/>
      <c r="N56" s="43"/>
      <c r="O56" s="43"/>
      <c r="P56" s="43"/>
    </row>
    <row r="57" customFormat="false" ht="15.75" hidden="false" customHeight="true" outlineLevel="0" collapsed="false">
      <c r="A57" s="44"/>
      <c r="B57" s="45" t="s">
        <v>66</v>
      </c>
      <c r="C57" s="46"/>
      <c r="D57" s="44"/>
      <c r="E57" s="44"/>
      <c r="F57" s="46"/>
      <c r="G57" s="43" t="n">
        <f aca="false">E57</f>
        <v>0</v>
      </c>
      <c r="H57" s="43"/>
      <c r="I57" s="43"/>
      <c r="J57" s="43"/>
      <c r="K57" s="43"/>
      <c r="L57" s="43"/>
      <c r="M57" s="43"/>
      <c r="N57" s="43"/>
      <c r="O57" s="43"/>
      <c r="P57" s="43"/>
    </row>
    <row r="58" customFormat="false" ht="15.75" hidden="false" customHeight="true" outlineLevel="0" collapsed="false">
      <c r="A58" s="44"/>
      <c r="B58" s="45" t="s">
        <v>66</v>
      </c>
      <c r="C58" s="46"/>
      <c r="D58" s="44"/>
      <c r="E58" s="44"/>
      <c r="F58" s="46"/>
      <c r="G58" s="43" t="n">
        <f aca="false">E58</f>
        <v>0</v>
      </c>
      <c r="H58" s="43"/>
      <c r="I58" s="43"/>
      <c r="J58" s="43"/>
      <c r="K58" s="43"/>
      <c r="L58" s="43"/>
      <c r="M58" s="43"/>
      <c r="N58" s="43"/>
      <c r="O58" s="43"/>
      <c r="P58" s="43"/>
    </row>
    <row r="59" customFormat="false" ht="18" hidden="false" customHeight="true" outlineLevel="0" collapsed="false">
      <c r="A59" s="39" t="str">
        <f aca="false">_xlfn.CONCAT("Total = ", COUNTA(A40:A55))</f>
        <v>Total = 9</v>
      </c>
      <c r="B59" s="40"/>
      <c r="C59" s="39" t="n">
        <f aca="false">SUM(C40:C58)</f>
        <v>85</v>
      </c>
      <c r="D59" s="39" t="n">
        <f aca="false">SUM(D40:D58)</f>
        <v>660</v>
      </c>
      <c r="E59" s="39" t="n">
        <f aca="false">SUM(E40:E58)</f>
        <v>14100</v>
      </c>
      <c r="F59" s="39"/>
      <c r="G59" s="41" t="n">
        <f aca="false">SUM(G40:P58)</f>
        <v>7500</v>
      </c>
      <c r="H59" s="41"/>
      <c r="I59" s="41"/>
      <c r="J59" s="41"/>
      <c r="K59" s="41"/>
      <c r="L59" s="41"/>
      <c r="M59" s="41"/>
      <c r="N59" s="41"/>
      <c r="O59" s="41"/>
      <c r="P59" s="41"/>
    </row>
    <row r="60" customFormat="false" ht="14.25" hidden="false" customHeight="false" outlineLevel="0" collapsed="false">
      <c r="A60" s="23"/>
    </row>
    <row r="61" customFormat="false" ht="14.25" hidden="false" customHeight="false" outlineLevel="0" collapsed="false">
      <c r="A61" s="23"/>
    </row>
    <row r="62" customFormat="false" ht="21" hidden="false" customHeight="true" outlineLevel="0" collapsed="false">
      <c r="A62" s="47" t="s">
        <v>67</v>
      </c>
      <c r="B62" s="47"/>
    </row>
    <row r="63" customFormat="false" ht="21" hidden="false" customHeight="true" outlineLevel="0" collapsed="false">
      <c r="A63" s="48" t="s">
        <v>68</v>
      </c>
      <c r="B63" s="49" t="n">
        <f aca="false">SUM(COUNTA(A40:A55), COUNTA(A27:A30))</f>
        <v>9</v>
      </c>
    </row>
    <row r="64" customFormat="false" ht="21" hidden="false" customHeight="true" outlineLevel="0" collapsed="false">
      <c r="A64" s="48" t="s">
        <v>69</v>
      </c>
      <c r="B64" s="49" t="n">
        <f aca="false">SUM(C31+C59)</f>
        <v>85</v>
      </c>
    </row>
    <row r="65" customFormat="false" ht="21" hidden="false" customHeight="true" outlineLevel="0" collapsed="false">
      <c r="A65" s="48" t="s">
        <v>70</v>
      </c>
      <c r="B65" s="49" t="n">
        <f aca="false">SUM(D31+D59)</f>
        <v>660</v>
      </c>
    </row>
    <row r="66" customFormat="false" ht="21" hidden="false" customHeight="true" outlineLevel="0" collapsed="false">
      <c r="A66" s="48" t="s">
        <v>71</v>
      </c>
      <c r="B66" s="49" t="n">
        <f aca="false">SUM(E59+E31)</f>
        <v>14100</v>
      </c>
    </row>
    <row r="67" customFormat="false" ht="21" hidden="false" customHeight="true" outlineLevel="0" collapsed="false">
      <c r="A67" s="48" t="s">
        <v>72</v>
      </c>
      <c r="B67" s="49" t="n">
        <f aca="false">SUM(G31+G59)</f>
        <v>7500</v>
      </c>
    </row>
    <row r="68" customFormat="false" ht="14.25" hidden="false" customHeight="false" outlineLevel="0" collapsed="false">
      <c r="A68" s="23"/>
    </row>
    <row r="69" customFormat="false" ht="14.25" hidden="false" customHeight="false" outlineLevel="0" collapsed="false">
      <c r="A69" s="23"/>
    </row>
    <row r="70" customFormat="false" ht="14.25" hidden="false" customHeight="false" outlineLevel="0" collapsed="false">
      <c r="A70" s="23"/>
    </row>
    <row r="71" customFormat="false" ht="14.25" hidden="false" customHeight="false" outlineLevel="0" collapsed="false">
      <c r="A71" s="23"/>
    </row>
    <row r="72" customFormat="false" ht="14.25" hidden="false" customHeight="false" outlineLevel="0" collapsed="false">
      <c r="A72" s="23"/>
    </row>
    <row r="73" customFormat="false" ht="14.25" hidden="false" customHeight="false" outlineLevel="0" collapsed="false">
      <c r="A73" s="23"/>
    </row>
    <row r="74" customFormat="false" ht="14.25" hidden="false" customHeight="false" outlineLevel="0" collapsed="false">
      <c r="A74" s="50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2"/>
    </row>
  </sheetData>
  <mergeCells count="42">
    <mergeCell ref="A1:P1"/>
    <mergeCell ref="I5:O5"/>
    <mergeCell ref="A14:P14"/>
    <mergeCell ref="A16:P16"/>
    <mergeCell ref="C17:O17"/>
    <mergeCell ref="A18:A19"/>
    <mergeCell ref="B18:B19"/>
    <mergeCell ref="A21:P21"/>
    <mergeCell ref="C22:O22"/>
    <mergeCell ref="A23:A24"/>
    <mergeCell ref="B23:B24"/>
    <mergeCell ref="G26:P26"/>
    <mergeCell ref="G27:P27"/>
    <mergeCell ref="G28:P28"/>
    <mergeCell ref="G29:P29"/>
    <mergeCell ref="G30:P30"/>
    <mergeCell ref="G31:P31"/>
    <mergeCell ref="A34:P34"/>
    <mergeCell ref="C35:O35"/>
    <mergeCell ref="A36:A37"/>
    <mergeCell ref="B36:B37"/>
    <mergeCell ref="G39:P39"/>
    <mergeCell ref="G40:P40"/>
    <mergeCell ref="G41:P41"/>
    <mergeCell ref="G42:P42"/>
    <mergeCell ref="G43:P43"/>
    <mergeCell ref="G44:P44"/>
    <mergeCell ref="G45:P45"/>
    <mergeCell ref="G46:P46"/>
    <mergeCell ref="G47:P47"/>
    <mergeCell ref="G48:P48"/>
    <mergeCell ref="G49:P49"/>
    <mergeCell ref="G50:P50"/>
    <mergeCell ref="G51:P51"/>
    <mergeCell ref="G52:P52"/>
    <mergeCell ref="G53:P53"/>
    <mergeCell ref="G54:P54"/>
    <mergeCell ref="G55:P55"/>
    <mergeCell ref="G56:P56"/>
    <mergeCell ref="G57:P57"/>
    <mergeCell ref="G58:P58"/>
    <mergeCell ref="G59:P59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&amp;C&amp;"Calibri,Regular"&amp;10 &amp;K000000_x005F_x000d_#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2025-09-23T03:48:42Z</dcterms:created>
  <dc:creator>Shahed HOSSAN</dc:creator>
  <dc:description/>
  <dc:language>en-US</dc:language>
  <cp:lastModifiedBy>Eva Padilla | Procurement</cp:lastModifiedBy>
  <dcterms:modified xsi:type="dcterms:W3CDTF">2026-08-20T20:55:43Z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0x010100E634DA3129D02947B0791360C01BF24D</vt:lpwstr>
  </property>
  <property fmtid="{D5CDD505-2E9C-101B-9397-08002B2CF9AE}" pid="3" name="MediaServiceImageTags">
    <vt:lpwstr/>
  </property>
</Properties>
</file>