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05.Analistas Procurement\CITAS\LPN PL\"/>
    </mc:Choice>
  </mc:AlternateContent>
  <xr:revisionPtr revIDLastSave="0" documentId="13_ncr:1_{B9FD3B15-0722-4892-A052-D0640A0722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B63" i="1"/>
  <c r="G58" i="1"/>
  <c r="G57" i="1"/>
  <c r="G56" i="1"/>
  <c r="D59" i="1"/>
  <c r="E59" i="1"/>
  <c r="A59" i="1"/>
  <c r="G53" i="1"/>
  <c r="G54" i="1"/>
  <c r="G55" i="1"/>
  <c r="C59" i="1"/>
  <c r="E31" i="1"/>
  <c r="D31" i="1"/>
  <c r="C31" i="1"/>
  <c r="G28" i="1"/>
  <c r="B23" i="1" l="1"/>
  <c r="B36" i="1" s="1"/>
  <c r="G30" i="1" l="1"/>
  <c r="G29" i="1"/>
  <c r="G45" i="1"/>
  <c r="G46" i="1"/>
  <c r="G40" i="1"/>
  <c r="G48" i="1"/>
  <c r="P24" i="1"/>
  <c r="P19" i="1"/>
  <c r="B66" i="1"/>
  <c r="B65" i="1"/>
  <c r="G44" i="1"/>
  <c r="G49" i="1"/>
  <c r="G50" i="1"/>
  <c r="G47" i="1"/>
  <c r="P37" i="1"/>
  <c r="G41" i="1"/>
  <c r="G42" i="1"/>
  <c r="G43" i="1"/>
  <c r="G51" i="1"/>
  <c r="G52" i="1"/>
  <c r="A31" i="1"/>
  <c r="G31" i="1" l="1"/>
  <c r="G59" i="1"/>
  <c r="B64" i="1"/>
  <c r="B7" i="1"/>
  <c r="B8" i="1" l="1"/>
  <c r="B67" i="1"/>
</calcChain>
</file>

<file path=xl/sharedStrings.xml><?xml version="1.0" encoding="utf-8"?>
<sst xmlns="http://schemas.openxmlformats.org/spreadsheetml/2006/main" count="89" uniqueCount="58">
  <si>
    <t>PACKING LIST: C&amp;A</t>
  </si>
  <si>
    <t>Shipper/Exporter Name:</t>
  </si>
  <si>
    <t>Shipper Code:</t>
  </si>
  <si>
    <t>Model No:</t>
  </si>
  <si>
    <t>DIVISION:</t>
  </si>
  <si>
    <t>Outer box dimensions (in CM)</t>
  </si>
  <si>
    <t>PURCHASE ORDER:</t>
  </si>
  <si>
    <t>Dim. 1</t>
  </si>
  <si>
    <t>Dim. 2</t>
  </si>
  <si>
    <t>Dim. 3</t>
  </si>
  <si>
    <t>Dim. 4</t>
  </si>
  <si>
    <t>Dim. 5</t>
  </si>
  <si>
    <t>Dim. 6</t>
  </si>
  <si>
    <t>TOTAL CARTONS:</t>
  </si>
  <si>
    <t>Height (cm)</t>
  </si>
  <si>
    <t>TOTAL PIECES:</t>
  </si>
  <si>
    <t>Length (cm)</t>
  </si>
  <si>
    <t>GROSS WEIGHT PER ORDER:</t>
  </si>
  <si>
    <t>Width (cm)</t>
  </si>
  <si>
    <t>NET WEIGHT PER ORDER:</t>
  </si>
  <si>
    <t>total cartons:</t>
  </si>
  <si>
    <t>CBM</t>
  </si>
  <si>
    <t>INVOICE Number</t>
  </si>
  <si>
    <t>Packing Details (Ratio Pack):</t>
  </si>
  <si>
    <t>PACK:</t>
  </si>
  <si>
    <t>COLOR</t>
  </si>
  <si>
    <t>SIZES</t>
  </si>
  <si>
    <t/>
  </si>
  <si>
    <t>A</t>
  </si>
  <si>
    <t>PALO RODA OBSCURO</t>
  </si>
  <si>
    <t>6-7</t>
  </si>
  <si>
    <t>7-8</t>
  </si>
  <si>
    <t>9-10</t>
  </si>
  <si>
    <t>11-12</t>
  </si>
  <si>
    <t>13-14</t>
  </si>
  <si>
    <t>TOTAL</t>
  </si>
  <si>
    <t>B</t>
  </si>
  <si>
    <t xml:space="preserve">PACK No. </t>
  </si>
  <si>
    <t>PACK</t>
  </si>
  <si>
    <t>Number of cartons</t>
  </si>
  <si>
    <t>Packs per carton</t>
  </si>
  <si>
    <t>Pieces Per Pack</t>
  </si>
  <si>
    <t>Packs per PO</t>
  </si>
  <si>
    <t>Total Pieces</t>
  </si>
  <si>
    <t>Packing Details (Solid Pack):</t>
  </si>
  <si>
    <t>C</t>
  </si>
  <si>
    <t>SKU No.</t>
  </si>
  <si>
    <t>Number of cartons.</t>
  </si>
  <si>
    <t>Pieces per carton</t>
  </si>
  <si>
    <t>Pieces to Delivery</t>
  </si>
  <si>
    <t>Pieces per PO</t>
  </si>
  <si>
    <t>MIXED</t>
  </si>
  <si>
    <t>Packing Summary:</t>
  </si>
  <si>
    <t>Total No. of Packs:</t>
  </si>
  <si>
    <t>Total carton:</t>
  </si>
  <si>
    <t>Total packs per carton:</t>
  </si>
  <si>
    <t>Total pcs per pack:</t>
  </si>
  <si>
    <t>Total Quantity: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</si>
</sst>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4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2"/>
      <color theme="2"/>
      <name val="Aptos Display"/>
      <family val="2"/>
      <scheme val="major"/>
    </font>
    <font>
      <b/>
      <sz val="12"/>
      <color theme="2"/>
      <name val="Aptos Narrow"/>
      <family val="2"/>
      <scheme val="minor"/>
    </font>
    <font>
      <b/>
      <sz val="14"/>
      <color theme="3" tint="-0.749992370372631"/>
      <name val="Aptos Narrow"/>
      <family val="2"/>
      <scheme val="minor"/>
    </font>
    <font>
      <sz val="12"/>
      <color theme="3" tint="-0.749992370372631"/>
      <name val="Aptos Narrow"/>
      <family val="2"/>
      <scheme val="minor"/>
    </font>
    <font>
      <b/>
      <sz val="12"/>
      <color theme="3" tint="-0.749992370372631"/>
      <name val="Aptos Narrow"/>
      <family val="2"/>
      <scheme val="minor"/>
    </font>
    <font>
      <b/>
      <sz val="11"/>
      <color theme="3" tint="-0.749992370372631"/>
      <name val="Aptos Display"/>
      <family val="2"/>
      <scheme val="major"/>
    </font>
    <font>
      <sz val="11"/>
      <color theme="3" tint="-0.749992370372631"/>
      <name val="Aptos Narrow"/>
      <family val="2"/>
      <scheme val="minor"/>
    </font>
    <font>
      <b/>
      <sz val="10"/>
      <color theme="3" tint="-0.749992370372631"/>
      <name val="Aptos Display"/>
      <family val="2"/>
      <scheme val="major"/>
    </font>
    <font>
      <sz val="11"/>
      <color theme="3" tint="-0.749992370372631"/>
      <name val="Aptos Display"/>
      <family val="2"/>
      <scheme val="major"/>
    </font>
    <font>
      <b/>
      <sz val="14"/>
      <color theme="5" tint="-0.249977111117893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  <font>
      <sz val="14"/>
      <color theme="5" tint="-0.249977111117893"/>
      <name val="Aptos Narrow"/>
      <family val="2"/>
      <scheme val="minor"/>
    </font>
    <font>
      <b/>
      <sz val="16"/>
      <color theme="2"/>
      <name val="Aptos Display"/>
      <family val="2"/>
      <scheme val="major"/>
    </font>
    <font>
      <sz val="16"/>
      <color theme="2"/>
      <name val="Aptos Display"/>
      <family val="2"/>
      <scheme val="major"/>
    </font>
    <font>
      <b/>
      <sz val="16"/>
      <color theme="2"/>
      <name val="Aptos Narrow"/>
      <family val="2"/>
      <scheme val="minor"/>
    </font>
    <font>
      <b/>
      <sz val="14"/>
      <color theme="2"/>
      <name val="Aptos Display"/>
      <family val="2"/>
      <scheme val="major"/>
    </font>
    <font>
      <b/>
      <sz val="20"/>
      <color theme="2"/>
      <name val="Aptos Display"/>
      <family val="2"/>
      <scheme val="major"/>
    </font>
    <font>
      <sz val="20"/>
      <color theme="2"/>
      <name val="Aptos Display"/>
      <family val="2"/>
      <scheme val="major"/>
    </font>
    <font>
      <sz val="10"/>
      <color theme="8" tint="-0.499984740745262"/>
      <name val="Aptos Display"/>
      <family val="2"/>
      <scheme val="major"/>
    </font>
    <font>
      <sz val="11"/>
      <color theme="8" tint="-0.499984740745262"/>
      <name val="Aptos Display"/>
      <family val="2"/>
      <scheme val="major"/>
    </font>
    <font>
      <b/>
      <sz val="14"/>
      <color theme="6"/>
      <name val="Aptos Narrow"/>
      <family val="2"/>
      <scheme val="minor"/>
    </font>
    <font>
      <sz val="12"/>
      <color theme="6"/>
      <name val="Aptos Narrow"/>
      <family val="2"/>
      <scheme val="minor"/>
    </font>
    <font>
      <b/>
      <sz val="14"/>
      <color theme="6"/>
      <name val="Aptos Display"/>
      <family val="2"/>
      <scheme val="major"/>
    </font>
    <font>
      <b/>
      <sz val="12"/>
      <color theme="6"/>
      <name val="Aptos Narrow"/>
      <family val="2"/>
      <scheme val="minor"/>
    </font>
    <font>
      <sz val="14"/>
      <color theme="6"/>
      <name val="Aptos Narrow"/>
      <family val="2"/>
      <scheme val="minor"/>
    </font>
    <font>
      <b/>
      <sz val="16"/>
      <color theme="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-0.499984740745262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4" fillId="4" borderId="4" xfId="1" applyFont="1" applyFill="1" applyBorder="1" applyAlignment="1" applyProtection="1">
      <alignment horizontal="center" vertical="center"/>
      <protection locked="0"/>
    </xf>
    <xf numFmtId="0" fontId="3" fillId="4" borderId="4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6" fillId="3" borderId="4" xfId="0" applyFont="1" applyFill="1" applyBorder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7" fillId="3" borderId="4" xfId="0" applyFont="1" applyFill="1" applyBorder="1" applyAlignment="1" applyProtection="1">
      <alignment horizontal="center" vertical="center" wrapText="1"/>
      <protection locked="0"/>
    </xf>
    <xf numFmtId="0" fontId="20" fillId="2" borderId="4" xfId="0" applyFont="1" applyFill="1" applyBorder="1" applyAlignment="1" applyProtection="1">
      <alignment vertical="center"/>
      <protection locked="0"/>
    </xf>
    <xf numFmtId="0" fontId="8" fillId="0" borderId="4" xfId="0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7" xfId="0" applyBorder="1" applyAlignment="1" applyProtection="1">
      <alignment vertical="center"/>
      <protection locked="0"/>
    </xf>
    <xf numFmtId="0" fontId="15" fillId="5" borderId="5" xfId="0" applyFont="1" applyFill="1" applyBorder="1" applyAlignment="1" applyProtection="1">
      <alignment vertical="center"/>
      <protection locked="0"/>
    </xf>
    <xf numFmtId="0" fontId="15" fillId="5" borderId="4" xfId="0" applyFont="1" applyFill="1" applyBorder="1" applyAlignment="1" applyProtection="1">
      <alignment horizontal="left" vertical="center"/>
      <protection locked="0"/>
    </xf>
    <xf numFmtId="0" fontId="17" fillId="5" borderId="4" xfId="0" applyFont="1" applyFill="1" applyBorder="1" applyAlignment="1" applyProtection="1">
      <alignment horizontal="left" vertical="center"/>
      <protection locked="0"/>
    </xf>
    <xf numFmtId="0" fontId="11" fillId="5" borderId="4" xfId="0" applyFont="1" applyFill="1" applyBorder="1" applyAlignment="1" applyProtection="1">
      <alignment horizontal="center" vertical="center"/>
      <protection locked="0"/>
    </xf>
    <xf numFmtId="49" fontId="11" fillId="5" borderId="4" xfId="0" applyNumberFormat="1" applyFont="1" applyFill="1" applyBorder="1" applyAlignment="1" applyProtection="1">
      <alignment horizontal="center" vertical="center"/>
      <protection locked="0"/>
    </xf>
    <xf numFmtId="0" fontId="10" fillId="5" borderId="4" xfId="0" applyFont="1" applyFill="1" applyBorder="1" applyAlignment="1" applyProtection="1">
      <alignment horizontal="center" vertical="center"/>
      <protection locked="0"/>
    </xf>
    <xf numFmtId="0" fontId="9" fillId="5" borderId="4" xfId="0" applyFont="1" applyFill="1" applyBorder="1" applyAlignment="1" applyProtection="1">
      <alignment horizontal="center" vertical="center"/>
      <protection locked="0"/>
    </xf>
    <xf numFmtId="0" fontId="26" fillId="6" borderId="4" xfId="0" applyFont="1" applyFill="1" applyBorder="1" applyAlignment="1" applyProtection="1">
      <alignment horizontal="center" vertical="center"/>
      <protection locked="0"/>
    </xf>
    <xf numFmtId="0" fontId="13" fillId="5" borderId="4" xfId="0" applyFont="1" applyFill="1" applyBorder="1" applyAlignment="1" applyProtection="1">
      <alignment horizontal="center" vertical="center"/>
      <protection locked="0"/>
    </xf>
    <xf numFmtId="0" fontId="14" fillId="5" borderId="4" xfId="0" applyFont="1" applyFill="1" applyBorder="1" applyAlignment="1" applyProtection="1">
      <alignment horizontal="center" vertical="center"/>
      <protection locked="0"/>
    </xf>
    <xf numFmtId="0" fontId="14" fillId="5" borderId="4" xfId="0" applyFont="1" applyFill="1" applyBorder="1" applyAlignment="1" applyProtection="1">
      <alignment horizontal="center" vertical="center" wrapText="1"/>
      <protection locked="0"/>
    </xf>
    <xf numFmtId="0" fontId="24" fillId="5" borderId="4" xfId="0" applyFont="1" applyFill="1" applyBorder="1" applyAlignment="1" applyProtection="1">
      <alignment horizontal="center" vertical="center"/>
      <protection locked="0"/>
    </xf>
    <xf numFmtId="0" fontId="25" fillId="5" borderId="4" xfId="0" applyFont="1" applyFill="1" applyBorder="1" applyAlignment="1" applyProtection="1">
      <alignment horizontal="center" vertical="center"/>
      <protection locked="0"/>
    </xf>
    <xf numFmtId="49" fontId="10" fillId="5" borderId="4" xfId="0" applyNumberFormat="1" applyFont="1" applyFill="1" applyBorder="1" applyAlignment="1" applyProtection="1">
      <alignment horizontal="center" vertical="center"/>
      <protection locked="0"/>
    </xf>
    <xf numFmtId="0" fontId="30" fillId="6" borderId="4" xfId="0" applyFont="1" applyFill="1" applyBorder="1" applyAlignment="1" applyProtection="1">
      <alignment horizontal="left" vertical="center"/>
      <protection hidden="1"/>
    </xf>
    <xf numFmtId="0" fontId="28" fillId="6" borderId="4" xfId="0" applyFont="1" applyFill="1" applyBorder="1" applyAlignment="1" applyProtection="1">
      <alignment horizontal="center" vertical="center"/>
      <protection hidden="1"/>
    </xf>
    <xf numFmtId="0" fontId="26" fillId="6" borderId="4" xfId="0" applyFont="1" applyFill="1" applyBorder="1" applyAlignment="1" applyProtection="1">
      <alignment horizontal="center" vertical="center"/>
      <protection hidden="1"/>
    </xf>
    <xf numFmtId="165" fontId="31" fillId="6" borderId="4" xfId="3" applyNumberFormat="1" applyFont="1" applyFill="1" applyBorder="1" applyAlignment="1" applyProtection="1">
      <alignment horizontal="left" vertical="center"/>
      <protection hidden="1"/>
    </xf>
    <xf numFmtId="16" fontId="11" fillId="5" borderId="4" xfId="0" quotePrefix="1" applyNumberFormat="1" applyFont="1" applyFill="1" applyBorder="1" applyAlignment="1" applyProtection="1">
      <alignment horizontal="center" vertical="center"/>
      <protection locked="0"/>
    </xf>
    <xf numFmtId="0" fontId="6" fillId="3" borderId="4" xfId="0" quotePrefix="1" applyFont="1" applyFill="1" applyBorder="1" applyAlignment="1" applyProtection="1">
      <alignment horizontal="center" vertical="center"/>
      <protection locked="0"/>
    </xf>
    <xf numFmtId="0" fontId="11" fillId="5" borderId="4" xfId="0" quotePrefix="1" applyFont="1" applyFill="1" applyBorder="1" applyAlignment="1" applyProtection="1">
      <alignment horizontal="center" vertical="center"/>
      <protection locked="0"/>
    </xf>
    <xf numFmtId="0" fontId="10" fillId="5" borderId="4" xfId="0" quotePrefix="1" applyFont="1" applyFill="1" applyBorder="1" applyAlignment="1" applyProtection="1">
      <alignment horizontal="center" vertical="center"/>
      <protection locked="0"/>
    </xf>
    <xf numFmtId="0" fontId="9" fillId="8" borderId="4" xfId="0" applyFont="1" applyFill="1" applyBorder="1" applyAlignment="1" applyProtection="1">
      <alignment horizontal="center" vertical="center"/>
      <protection locked="0"/>
    </xf>
    <xf numFmtId="0" fontId="10" fillId="8" borderId="4" xfId="0" applyFont="1" applyFill="1" applyBorder="1" applyAlignment="1" applyProtection="1">
      <alignment horizontal="center" vertical="center"/>
      <protection locked="0"/>
    </xf>
    <xf numFmtId="0" fontId="27" fillId="6" borderId="4" xfId="0" applyFont="1" applyFill="1" applyBorder="1" applyAlignment="1" applyProtection="1">
      <alignment horizontal="center" vertical="center"/>
      <protection hidden="1"/>
    </xf>
    <xf numFmtId="0" fontId="27" fillId="6" borderId="4" xfId="0" applyFont="1" applyFill="1" applyBorder="1" applyAlignment="1" applyProtection="1">
      <alignment horizontal="center" vertical="center"/>
      <protection hidden="1"/>
    </xf>
    <xf numFmtId="0" fontId="26" fillId="6" borderId="4" xfId="0" applyFont="1" applyFill="1" applyBorder="1" applyAlignment="1" applyProtection="1">
      <alignment horizontal="center" vertical="center"/>
      <protection hidden="1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18" fillId="2" borderId="4" xfId="0" applyFont="1" applyFill="1" applyBorder="1" applyAlignment="1" applyProtection="1">
      <alignment horizontal="center" vertical="center"/>
      <protection locked="0"/>
    </xf>
    <xf numFmtId="0" fontId="19" fillId="2" borderId="4" xfId="0" applyFont="1" applyFill="1" applyBorder="1" applyAlignment="1" applyProtection="1">
      <alignment vertical="center"/>
      <protection locked="0"/>
    </xf>
    <xf numFmtId="0" fontId="29" fillId="6" borderId="4" xfId="0" applyFont="1" applyFill="1" applyBorder="1" applyAlignment="1" applyProtection="1">
      <alignment horizontal="center" vertical="center"/>
      <protection hidden="1"/>
    </xf>
    <xf numFmtId="0" fontId="11" fillId="5" borderId="4" xfId="0" applyFont="1" applyFill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center" vertical="center"/>
      <protection locked="0"/>
    </xf>
    <xf numFmtId="0" fontId="11" fillId="5" borderId="4" xfId="0" applyFont="1" applyFill="1" applyBorder="1" applyAlignment="1" applyProtection="1">
      <alignment horizontal="center" vertical="center"/>
      <protection hidden="1"/>
    </xf>
    <xf numFmtId="0" fontId="22" fillId="2" borderId="4" xfId="0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vertical="center"/>
      <protection locked="0"/>
    </xf>
    <xf numFmtId="0" fontId="21" fillId="2" borderId="4" xfId="1" applyFont="1" applyFill="1" applyBorder="1" applyAlignment="1" applyProtection="1">
      <alignment horizontal="center" vertical="center"/>
      <protection locked="0"/>
    </xf>
  </cellXfs>
  <cellStyles count="4">
    <cellStyle name="Comma" xfId="3" builtinId="3"/>
    <cellStyle name="Normal" xfId="0" builtinId="0"/>
    <cellStyle name="Normal 2" xfId="2" xr:uid="{00000000-0005-0000-0000-000002000000}"/>
    <cellStyle name="Normal 5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yA2">
      <a:dk1>
        <a:srgbClr val="4E8B9B"/>
      </a:dk1>
      <a:lt1>
        <a:srgbClr val="FFFFFF"/>
      </a:lt1>
      <a:dk2>
        <a:srgbClr val="CCCCCC"/>
      </a:dk2>
      <a:lt2>
        <a:srgbClr val="FFFFFF"/>
      </a:lt2>
      <a:accent1>
        <a:srgbClr val="4E8B9B"/>
      </a:accent1>
      <a:accent2>
        <a:srgbClr val="414041"/>
      </a:accent2>
      <a:accent3>
        <a:srgbClr val="838588"/>
      </a:accent3>
      <a:accent4>
        <a:srgbClr val="7EA7AD"/>
      </a:accent4>
      <a:accent5>
        <a:srgbClr val="FE7B6E"/>
      </a:accent5>
      <a:accent6>
        <a:srgbClr val="FFFFFF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4"/>
  <sheetViews>
    <sheetView tabSelected="1" zoomScale="115" zoomScaleNormal="115" workbookViewId="0">
      <selection activeCell="B12" sqref="B12"/>
    </sheetView>
  </sheetViews>
  <sheetFormatPr defaultColWidth="30.453125" defaultRowHeight="14.5" x14ac:dyDescent="0.35"/>
  <cols>
    <col min="1" max="1" width="43.54296875" style="1" bestFit="1" customWidth="1"/>
    <col min="2" max="2" width="57" style="1" bestFit="1" customWidth="1"/>
    <col min="3" max="3" width="27.54296875" style="1" bestFit="1" customWidth="1"/>
    <col min="4" max="4" width="10.1796875" style="1" bestFit="1" customWidth="1"/>
    <col min="5" max="5" width="10.54296875" style="1" bestFit="1" customWidth="1"/>
    <col min="6" max="6" width="10.54296875" style="1" customWidth="1"/>
    <col min="7" max="8" width="3.54296875" style="1" bestFit="1" customWidth="1"/>
    <col min="9" max="9" width="14" style="1" bestFit="1" customWidth="1"/>
    <col min="10" max="14" width="7.1796875" style="1" bestFit="1" customWidth="1"/>
    <col min="15" max="15" width="10.54296875" style="1" bestFit="1" customWidth="1"/>
    <col min="16" max="16" width="7.7265625" style="3" bestFit="1" customWidth="1"/>
    <col min="17" max="16384" width="30.453125" style="1"/>
  </cols>
  <sheetData>
    <row r="1" spans="1:16" ht="26" x14ac:dyDescent="0.35">
      <c r="A1" s="58" t="s">
        <v>0</v>
      </c>
      <c r="B1" s="58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8.5" x14ac:dyDescent="0.35">
      <c r="A2" s="2" t="s">
        <v>1</v>
      </c>
      <c r="B2" s="23"/>
    </row>
    <row r="3" spans="1:16" ht="18.5" x14ac:dyDescent="0.35">
      <c r="A3" s="4" t="s">
        <v>2</v>
      </c>
      <c r="B3" s="24"/>
    </row>
    <row r="4" spans="1:16" ht="18.5" x14ac:dyDescent="0.35">
      <c r="A4" s="4" t="s">
        <v>3</v>
      </c>
      <c r="B4" s="24"/>
    </row>
    <row r="5" spans="1:16" ht="18.5" x14ac:dyDescent="0.35">
      <c r="A5" s="5" t="s">
        <v>4</v>
      </c>
      <c r="B5" s="25"/>
      <c r="I5" s="60" t="s">
        <v>5</v>
      </c>
      <c r="J5" s="60"/>
      <c r="K5" s="60"/>
      <c r="L5" s="60"/>
      <c r="M5" s="60"/>
      <c r="N5" s="60"/>
      <c r="O5" s="60"/>
    </row>
    <row r="6" spans="1:16" ht="18.5" x14ac:dyDescent="0.35">
      <c r="A6" s="5" t="s">
        <v>6</v>
      </c>
      <c r="B6" s="25"/>
      <c r="I6" s="6"/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7" t="s">
        <v>12</v>
      </c>
    </row>
    <row r="7" spans="1:16" ht="18.5" x14ac:dyDescent="0.35">
      <c r="A7" s="5" t="s">
        <v>13</v>
      </c>
      <c r="B7" s="37">
        <f>C31+C59</f>
        <v>0</v>
      </c>
      <c r="I7" s="31" t="s">
        <v>14</v>
      </c>
      <c r="J7" s="32">
        <v>30</v>
      </c>
      <c r="K7" s="32">
        <v>10</v>
      </c>
      <c r="L7" s="32"/>
      <c r="M7" s="32"/>
      <c r="N7" s="32"/>
      <c r="O7" s="32"/>
    </row>
    <row r="8" spans="1:16" ht="18.5" x14ac:dyDescent="0.35">
      <c r="A8" s="5" t="s">
        <v>15</v>
      </c>
      <c r="B8" s="37">
        <f>SUM(G31,G59)</f>
        <v>0</v>
      </c>
      <c r="I8" s="31" t="s">
        <v>16</v>
      </c>
      <c r="J8" s="32">
        <v>60</v>
      </c>
      <c r="K8" s="32">
        <v>40</v>
      </c>
      <c r="L8" s="32"/>
      <c r="M8" s="32"/>
      <c r="N8" s="32"/>
      <c r="O8" s="33"/>
    </row>
    <row r="9" spans="1:16" ht="18.5" x14ac:dyDescent="0.35">
      <c r="A9" s="5" t="s">
        <v>17</v>
      </c>
      <c r="B9" s="25"/>
      <c r="I9" s="31" t="s">
        <v>18</v>
      </c>
      <c r="J9" s="32">
        <v>40</v>
      </c>
      <c r="K9" s="32">
        <v>30</v>
      </c>
      <c r="L9" s="32"/>
      <c r="M9" s="32"/>
      <c r="N9" s="32"/>
      <c r="O9" s="33"/>
    </row>
    <row r="10" spans="1:16" ht="18.5" x14ac:dyDescent="0.35">
      <c r="A10" s="5" t="s">
        <v>19</v>
      </c>
      <c r="B10" s="25"/>
      <c r="I10" s="34" t="s">
        <v>20</v>
      </c>
      <c r="J10" s="35">
        <v>14</v>
      </c>
      <c r="K10" s="35">
        <v>5</v>
      </c>
      <c r="L10" s="35"/>
      <c r="M10" s="35"/>
      <c r="N10" s="35"/>
      <c r="O10" s="35"/>
    </row>
    <row r="11" spans="1:16" ht="18.5" x14ac:dyDescent="0.35">
      <c r="A11" s="5" t="s">
        <v>21</v>
      </c>
      <c r="B11" s="25"/>
    </row>
    <row r="12" spans="1:16" ht="18.5" x14ac:dyDescent="0.35">
      <c r="A12" s="5" t="s">
        <v>22</v>
      </c>
      <c r="B12" s="25"/>
    </row>
    <row r="13" spans="1:16" x14ac:dyDescent="0.3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0"/>
    </row>
    <row r="14" spans="1:16" x14ac:dyDescent="0.3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</row>
    <row r="15" spans="1:16" x14ac:dyDescent="0.35">
      <c r="A15" s="11"/>
    </row>
    <row r="16" spans="1:16" ht="21" x14ac:dyDescent="0.35">
      <c r="A16" s="52" t="s">
        <v>23</v>
      </c>
      <c r="B16" s="52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</row>
    <row r="17" spans="1:16" ht="16" x14ac:dyDescent="0.35">
      <c r="A17" s="12" t="s">
        <v>24</v>
      </c>
      <c r="B17" s="12" t="s">
        <v>25</v>
      </c>
      <c r="C17" s="56" t="s">
        <v>26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42" t="s">
        <v>27</v>
      </c>
    </row>
    <row r="18" spans="1:16" x14ac:dyDescent="0.35">
      <c r="A18" s="55" t="s">
        <v>28</v>
      </c>
      <c r="B18" s="55" t="s">
        <v>29</v>
      </c>
      <c r="C18" s="41" t="s">
        <v>30</v>
      </c>
      <c r="D18" s="43" t="s">
        <v>31</v>
      </c>
      <c r="E18" s="43" t="s">
        <v>32</v>
      </c>
      <c r="F18" s="43" t="s">
        <v>33</v>
      </c>
      <c r="G18" s="26" t="s">
        <v>34</v>
      </c>
      <c r="H18" s="26"/>
      <c r="I18" s="27"/>
      <c r="J18" s="27"/>
      <c r="K18" s="27"/>
      <c r="L18" s="27"/>
      <c r="M18" s="27"/>
      <c r="N18" s="27"/>
      <c r="O18" s="27"/>
      <c r="P18" s="13"/>
    </row>
    <row r="19" spans="1:16" ht="18.5" x14ac:dyDescent="0.35">
      <c r="A19" s="55"/>
      <c r="B19" s="5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38">
        <f>SUM(C19:N19)</f>
        <v>0</v>
      </c>
    </row>
    <row r="20" spans="1:16" x14ac:dyDescent="0.3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6" ht="21" x14ac:dyDescent="0.35">
      <c r="A21" s="52" t="s">
        <v>23</v>
      </c>
      <c r="B21" s="52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</row>
    <row r="22" spans="1:16" ht="16" x14ac:dyDescent="0.35">
      <c r="A22" s="12" t="s">
        <v>24</v>
      </c>
      <c r="B22" s="12" t="s">
        <v>25</v>
      </c>
      <c r="C22" s="56" t="s">
        <v>26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12" t="s">
        <v>35</v>
      </c>
    </row>
    <row r="23" spans="1:16" x14ac:dyDescent="0.35">
      <c r="A23" s="55" t="s">
        <v>36</v>
      </c>
      <c r="B23" s="57" t="str">
        <f>+B18</f>
        <v>PALO RODA OBSCURO</v>
      </c>
      <c r="C23" s="41" t="s">
        <v>30</v>
      </c>
      <c r="D23" s="43" t="s">
        <v>31</v>
      </c>
      <c r="E23" s="43" t="s">
        <v>32</v>
      </c>
      <c r="F23" s="43" t="s">
        <v>33</v>
      </c>
      <c r="G23" s="26" t="s">
        <v>34</v>
      </c>
      <c r="H23" s="26"/>
      <c r="I23" s="27"/>
      <c r="J23" s="27"/>
      <c r="K23" s="27"/>
      <c r="L23" s="27"/>
      <c r="M23" s="27"/>
      <c r="N23" s="27"/>
      <c r="O23" s="27"/>
      <c r="P23" s="13"/>
    </row>
    <row r="24" spans="1:16" ht="18.5" x14ac:dyDescent="0.35">
      <c r="A24" s="55"/>
      <c r="B24" s="57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38">
        <f>SUM(C24:O24)</f>
        <v>0</v>
      </c>
    </row>
    <row r="25" spans="1:16" x14ac:dyDescent="0.3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6" ht="32" x14ac:dyDescent="0.35">
      <c r="A26" s="16" t="s">
        <v>37</v>
      </c>
      <c r="B26" s="16" t="s">
        <v>38</v>
      </c>
      <c r="C26" s="17" t="s">
        <v>39</v>
      </c>
      <c r="D26" s="17" t="s">
        <v>40</v>
      </c>
      <c r="E26" s="17" t="s">
        <v>41</v>
      </c>
      <c r="F26" s="17" t="s">
        <v>42</v>
      </c>
      <c r="G26" s="50" t="s">
        <v>43</v>
      </c>
      <c r="H26" s="50"/>
      <c r="I26" s="50"/>
      <c r="J26" s="50"/>
      <c r="K26" s="50"/>
      <c r="L26" s="50"/>
      <c r="M26" s="50"/>
      <c r="N26" s="50"/>
      <c r="O26" s="50"/>
      <c r="P26" s="50"/>
    </row>
    <row r="27" spans="1:16" ht="16" x14ac:dyDescent="0.35">
      <c r="A27" s="36"/>
      <c r="B27" s="28" t="s">
        <v>28</v>
      </c>
      <c r="C27" s="28"/>
      <c r="D27" s="28"/>
      <c r="E27" s="28"/>
      <c r="F27" s="28"/>
      <c r="G27" s="54">
        <f>C27*D27*E27</f>
        <v>0</v>
      </c>
      <c r="H27" s="54"/>
      <c r="I27" s="54"/>
      <c r="J27" s="54"/>
      <c r="K27" s="54"/>
      <c r="L27" s="54"/>
      <c r="M27" s="54"/>
      <c r="N27" s="54"/>
      <c r="O27" s="54"/>
      <c r="P27" s="54"/>
    </row>
    <row r="28" spans="1:16" ht="16" x14ac:dyDescent="0.35">
      <c r="A28" s="36"/>
      <c r="B28" s="28" t="s">
        <v>28</v>
      </c>
      <c r="C28" s="28"/>
      <c r="D28" s="28"/>
      <c r="E28" s="44"/>
      <c r="F28" s="28"/>
      <c r="G28" s="54">
        <f>C28*D28*E28</f>
        <v>0</v>
      </c>
      <c r="H28" s="54"/>
      <c r="I28" s="54"/>
      <c r="J28" s="54"/>
      <c r="K28" s="54"/>
      <c r="L28" s="54"/>
      <c r="M28" s="54"/>
      <c r="N28" s="54"/>
      <c r="O28" s="54"/>
      <c r="P28" s="54"/>
    </row>
    <row r="29" spans="1:16" ht="16" x14ac:dyDescent="0.35">
      <c r="A29" s="36"/>
      <c r="B29" s="28" t="s">
        <v>36</v>
      </c>
      <c r="C29" s="28"/>
      <c r="D29" s="28"/>
      <c r="E29" s="28"/>
      <c r="F29" s="28"/>
      <c r="G29" s="54">
        <f>C29*D29*E29</f>
        <v>0</v>
      </c>
      <c r="H29" s="54"/>
      <c r="I29" s="54"/>
      <c r="J29" s="54"/>
      <c r="K29" s="54"/>
      <c r="L29" s="54"/>
      <c r="M29" s="54"/>
      <c r="N29" s="54"/>
      <c r="O29" s="54"/>
      <c r="P29" s="54"/>
    </row>
    <row r="30" spans="1:16" ht="16" x14ac:dyDescent="0.35">
      <c r="A30" s="36"/>
      <c r="B30" s="28" t="s">
        <v>36</v>
      </c>
      <c r="C30" s="28"/>
      <c r="D30" s="28"/>
      <c r="E30" s="28"/>
      <c r="F30" s="28"/>
      <c r="G30" s="54">
        <f>C30*D30*E30</f>
        <v>0</v>
      </c>
      <c r="H30" s="54"/>
      <c r="I30" s="54"/>
      <c r="J30" s="54"/>
      <c r="K30" s="54"/>
      <c r="L30" s="54"/>
      <c r="M30" s="54"/>
      <c r="N30" s="54"/>
      <c r="O30" s="54"/>
      <c r="P30" s="54"/>
    </row>
    <row r="31" spans="1:16" ht="18.5" x14ac:dyDescent="0.35">
      <c r="A31" s="39" t="str">
        <f>_xlfn.CONCAT("Total = ", COUNTA(A27:A30))</f>
        <v>Total = 0</v>
      </c>
      <c r="B31" s="30"/>
      <c r="C31" s="39">
        <f>SUM(C27:C30)</f>
        <v>0</v>
      </c>
      <c r="D31" s="39">
        <f>SUM(D27:D30)</f>
        <v>0</v>
      </c>
      <c r="E31" s="39">
        <f>SUM(E27:E30)</f>
        <v>0</v>
      </c>
      <c r="F31" s="39"/>
      <c r="G31" s="49">
        <f>SUM(G27:P30)</f>
        <v>0</v>
      </c>
      <c r="H31" s="49"/>
      <c r="I31" s="49"/>
      <c r="J31" s="49"/>
      <c r="K31" s="49"/>
      <c r="L31" s="49"/>
      <c r="M31" s="49"/>
      <c r="N31" s="49"/>
      <c r="O31" s="49"/>
      <c r="P31" s="49"/>
    </row>
    <row r="32" spans="1:16" x14ac:dyDescent="0.35">
      <c r="A32" s="11"/>
    </row>
    <row r="33" spans="1:16" x14ac:dyDescent="0.35">
      <c r="A33" s="11"/>
    </row>
    <row r="34" spans="1:16" ht="21" x14ac:dyDescent="0.35">
      <c r="A34" s="52" t="s">
        <v>44</v>
      </c>
      <c r="B34" s="52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</row>
    <row r="35" spans="1:16" ht="16" x14ac:dyDescent="0.35">
      <c r="A35" s="12" t="s">
        <v>24</v>
      </c>
      <c r="B35" s="12" t="s">
        <v>25</v>
      </c>
      <c r="C35" s="56" t="s">
        <v>26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12" t="s">
        <v>35</v>
      </c>
    </row>
    <row r="36" spans="1:16" x14ac:dyDescent="0.35">
      <c r="A36" s="55" t="s">
        <v>45</v>
      </c>
      <c r="B36" s="57" t="str">
        <f>+B23</f>
        <v>PALO RODA OBSCURO</v>
      </c>
      <c r="C36" s="41" t="s">
        <v>30</v>
      </c>
      <c r="D36" s="43" t="s">
        <v>31</v>
      </c>
      <c r="E36" s="43" t="s">
        <v>32</v>
      </c>
      <c r="F36" s="43" t="s">
        <v>33</v>
      </c>
      <c r="G36" s="26" t="s">
        <v>34</v>
      </c>
      <c r="H36" s="26"/>
      <c r="I36" s="27"/>
      <c r="J36" s="27"/>
      <c r="K36" s="27"/>
      <c r="L36" s="27"/>
      <c r="M36" s="27"/>
      <c r="N36" s="27"/>
      <c r="O36" s="26"/>
      <c r="P36" s="13"/>
    </row>
    <row r="37" spans="1:16" ht="18.5" x14ac:dyDescent="0.35">
      <c r="A37" s="55"/>
      <c r="B37" s="57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38">
        <f>SUM(C37:O37)</f>
        <v>0</v>
      </c>
    </row>
    <row r="38" spans="1:16" x14ac:dyDescent="0.35">
      <c r="A38" s="11"/>
    </row>
    <row r="39" spans="1:16" ht="32" x14ac:dyDescent="0.35">
      <c r="A39" s="16" t="s">
        <v>46</v>
      </c>
      <c r="B39" s="16" t="s">
        <v>38</v>
      </c>
      <c r="C39" s="17" t="s">
        <v>47</v>
      </c>
      <c r="D39" s="17" t="s">
        <v>48</v>
      </c>
      <c r="E39" s="17" t="s">
        <v>49</v>
      </c>
      <c r="F39" s="17" t="s">
        <v>50</v>
      </c>
      <c r="G39" s="50" t="s">
        <v>43</v>
      </c>
      <c r="H39" s="50"/>
      <c r="I39" s="50"/>
      <c r="J39" s="50"/>
      <c r="K39" s="50"/>
      <c r="L39" s="50"/>
      <c r="M39" s="50"/>
      <c r="N39" s="50"/>
      <c r="O39" s="50"/>
      <c r="P39" s="50"/>
    </row>
    <row r="40" spans="1:16" ht="16" x14ac:dyDescent="0.35">
      <c r="A40" s="29"/>
      <c r="B40" s="28" t="s">
        <v>45</v>
      </c>
      <c r="C40" s="29"/>
      <c r="D40" s="29"/>
      <c r="E40" s="29"/>
      <c r="F40" s="29"/>
      <c r="G40" s="48">
        <f>C40*D40</f>
        <v>0</v>
      </c>
      <c r="H40" s="48"/>
      <c r="I40" s="48"/>
      <c r="J40" s="48"/>
      <c r="K40" s="48"/>
      <c r="L40" s="48"/>
      <c r="M40" s="48"/>
      <c r="N40" s="48"/>
      <c r="O40" s="48"/>
      <c r="P40" s="48"/>
    </row>
    <row r="41" spans="1:16" ht="16" x14ac:dyDescent="0.35">
      <c r="A41" s="29"/>
      <c r="B41" s="28" t="s">
        <v>45</v>
      </c>
      <c r="C41" s="29"/>
      <c r="D41" s="29"/>
      <c r="E41" s="29"/>
      <c r="F41" s="29"/>
      <c r="G41" s="48">
        <f t="shared" ref="G41:G52" si="0">C41*D41</f>
        <v>0</v>
      </c>
      <c r="H41" s="48"/>
      <c r="I41" s="48"/>
      <c r="J41" s="48"/>
      <c r="K41" s="48"/>
      <c r="L41" s="48"/>
      <c r="M41" s="48"/>
      <c r="N41" s="48"/>
      <c r="O41" s="48"/>
      <c r="P41" s="48"/>
    </row>
    <row r="42" spans="1:16" ht="16" x14ac:dyDescent="0.35">
      <c r="A42" s="29"/>
      <c r="B42" s="28" t="s">
        <v>45</v>
      </c>
      <c r="C42" s="29"/>
      <c r="D42" s="29"/>
      <c r="E42" s="29"/>
      <c r="F42" s="29"/>
      <c r="G42" s="48">
        <f t="shared" si="0"/>
        <v>0</v>
      </c>
      <c r="H42" s="48"/>
      <c r="I42" s="48"/>
      <c r="J42" s="48"/>
      <c r="K42" s="48"/>
      <c r="L42" s="48"/>
      <c r="M42" s="48"/>
      <c r="N42" s="48"/>
      <c r="O42" s="48"/>
      <c r="P42" s="48"/>
    </row>
    <row r="43" spans="1:16" ht="16" x14ac:dyDescent="0.35">
      <c r="A43" s="29"/>
      <c r="B43" s="28" t="s">
        <v>45</v>
      </c>
      <c r="C43" s="29"/>
      <c r="D43" s="29"/>
      <c r="E43" s="29"/>
      <c r="F43" s="29"/>
      <c r="G43" s="48">
        <f t="shared" si="0"/>
        <v>0</v>
      </c>
      <c r="H43" s="48"/>
      <c r="I43" s="48"/>
      <c r="J43" s="48"/>
      <c r="K43" s="48"/>
      <c r="L43" s="48"/>
      <c r="M43" s="48"/>
      <c r="N43" s="48"/>
      <c r="O43" s="48"/>
      <c r="P43" s="48"/>
    </row>
    <row r="44" spans="1:16" ht="16" x14ac:dyDescent="0.35">
      <c r="A44" s="29"/>
      <c r="B44" s="28" t="s">
        <v>45</v>
      </c>
      <c r="C44" s="29"/>
      <c r="D44" s="29"/>
      <c r="E44" s="29"/>
      <c r="F44" s="29"/>
      <c r="G44" s="48">
        <f t="shared" ref="G44" si="1">C44*D44</f>
        <v>0</v>
      </c>
      <c r="H44" s="48"/>
      <c r="I44" s="48"/>
      <c r="J44" s="48"/>
      <c r="K44" s="48"/>
      <c r="L44" s="48"/>
      <c r="M44" s="48"/>
      <c r="N44" s="48"/>
      <c r="O44" s="48"/>
      <c r="P44" s="48"/>
    </row>
    <row r="45" spans="1:16" ht="16" x14ac:dyDescent="0.35">
      <c r="A45" s="29"/>
      <c r="B45" s="28"/>
      <c r="C45" s="29"/>
      <c r="D45" s="29"/>
      <c r="E45" s="29"/>
      <c r="F45" s="29"/>
      <c r="G45" s="48">
        <f>C45*D45</f>
        <v>0</v>
      </c>
      <c r="H45" s="48"/>
      <c r="I45" s="48"/>
      <c r="J45" s="48"/>
      <c r="K45" s="48"/>
      <c r="L45" s="48"/>
      <c r="M45" s="48"/>
      <c r="N45" s="48"/>
      <c r="O45" s="48"/>
      <c r="P45" s="48"/>
    </row>
    <row r="46" spans="1:16" ht="16" x14ac:dyDescent="0.35">
      <c r="A46" s="29"/>
      <c r="B46" s="28"/>
      <c r="C46" s="29"/>
      <c r="D46" s="29"/>
      <c r="E46" s="29"/>
      <c r="F46" s="29"/>
      <c r="G46" s="48">
        <f>C46*D46</f>
        <v>0</v>
      </c>
      <c r="H46" s="48"/>
      <c r="I46" s="48"/>
      <c r="J46" s="48"/>
      <c r="K46" s="48"/>
      <c r="L46" s="48"/>
      <c r="M46" s="48"/>
      <c r="N46" s="48"/>
      <c r="O46" s="48"/>
      <c r="P46" s="48"/>
    </row>
    <row r="47" spans="1:16" ht="16" x14ac:dyDescent="0.35">
      <c r="A47" s="29"/>
      <c r="B47" s="29"/>
      <c r="C47" s="29"/>
      <c r="D47" s="29"/>
      <c r="E47" s="29"/>
      <c r="F47" s="29"/>
      <c r="G47" s="48">
        <f>C47*D47</f>
        <v>0</v>
      </c>
      <c r="H47" s="48"/>
      <c r="I47" s="48"/>
      <c r="J47" s="48"/>
      <c r="K47" s="48"/>
      <c r="L47" s="48"/>
      <c r="M47" s="48"/>
      <c r="N47" s="48"/>
      <c r="O47" s="48"/>
      <c r="P47" s="48"/>
    </row>
    <row r="48" spans="1:16" ht="16" x14ac:dyDescent="0.35">
      <c r="A48" s="29"/>
      <c r="B48" s="29"/>
      <c r="C48" s="29"/>
      <c r="D48" s="29"/>
      <c r="E48" s="29"/>
      <c r="F48" s="29"/>
      <c r="G48" s="48">
        <f>C48*D48</f>
        <v>0</v>
      </c>
      <c r="H48" s="48"/>
      <c r="I48" s="48"/>
      <c r="J48" s="48"/>
      <c r="K48" s="48"/>
      <c r="L48" s="48"/>
      <c r="M48" s="48"/>
      <c r="N48" s="48"/>
      <c r="O48" s="48"/>
      <c r="P48" s="48"/>
    </row>
    <row r="49" spans="1:16" ht="16" x14ac:dyDescent="0.35">
      <c r="A49" s="29"/>
      <c r="B49" s="29"/>
      <c r="C49" s="29"/>
      <c r="D49" s="29"/>
      <c r="E49" s="29"/>
      <c r="F49" s="29"/>
      <c r="G49" s="48">
        <f t="shared" ref="G49:G50" si="2">C49*D49</f>
        <v>0</v>
      </c>
      <c r="H49" s="48"/>
      <c r="I49" s="48"/>
      <c r="J49" s="48"/>
      <c r="K49" s="48"/>
      <c r="L49" s="48"/>
      <c r="M49" s="48"/>
      <c r="N49" s="48"/>
      <c r="O49" s="48"/>
      <c r="P49" s="48"/>
    </row>
    <row r="50" spans="1:16" ht="16" x14ac:dyDescent="0.35">
      <c r="A50" s="29"/>
      <c r="B50" s="29"/>
      <c r="C50" s="29"/>
      <c r="D50" s="29"/>
      <c r="E50" s="29"/>
      <c r="F50" s="29"/>
      <c r="G50" s="48">
        <f t="shared" si="2"/>
        <v>0</v>
      </c>
      <c r="H50" s="48"/>
      <c r="I50" s="48"/>
      <c r="J50" s="48"/>
      <c r="K50" s="48"/>
      <c r="L50" s="48"/>
      <c r="M50" s="48"/>
      <c r="N50" s="48"/>
      <c r="O50" s="48"/>
      <c r="P50" s="48"/>
    </row>
    <row r="51" spans="1:16" ht="16" x14ac:dyDescent="0.35">
      <c r="A51" s="29"/>
      <c r="B51" s="29"/>
      <c r="C51" s="29"/>
      <c r="D51" s="29"/>
      <c r="E51" s="29"/>
      <c r="F51" s="29"/>
      <c r="G51" s="48">
        <f t="shared" si="0"/>
        <v>0</v>
      </c>
      <c r="H51" s="48"/>
      <c r="I51" s="48"/>
      <c r="J51" s="48"/>
      <c r="K51" s="48"/>
      <c r="L51" s="48"/>
      <c r="M51" s="48"/>
      <c r="N51" s="48"/>
      <c r="O51" s="48"/>
      <c r="P51" s="48"/>
    </row>
    <row r="52" spans="1:16" ht="16" x14ac:dyDescent="0.35">
      <c r="A52" s="29"/>
      <c r="B52" s="29"/>
      <c r="C52" s="29"/>
      <c r="D52" s="29"/>
      <c r="E52" s="29"/>
      <c r="F52" s="29"/>
      <c r="G52" s="48">
        <f t="shared" si="0"/>
        <v>0</v>
      </c>
      <c r="H52" s="48"/>
      <c r="I52" s="48"/>
      <c r="J52" s="48"/>
      <c r="K52" s="48"/>
      <c r="L52" s="48"/>
      <c r="M52" s="48"/>
      <c r="N52" s="48"/>
      <c r="O52" s="48"/>
      <c r="P52" s="48"/>
    </row>
    <row r="53" spans="1:16" ht="16" x14ac:dyDescent="0.35">
      <c r="A53" s="29"/>
      <c r="B53" s="29"/>
      <c r="C53" s="29"/>
      <c r="D53" s="29"/>
      <c r="E53" s="29"/>
      <c r="F53" s="29"/>
      <c r="G53" s="48">
        <f t="shared" ref="G53:G55" si="3">C53*D53</f>
        <v>0</v>
      </c>
      <c r="H53" s="48"/>
      <c r="I53" s="48"/>
      <c r="J53" s="48"/>
      <c r="K53" s="48"/>
      <c r="L53" s="48"/>
      <c r="M53" s="48"/>
      <c r="N53" s="48"/>
      <c r="O53" s="48"/>
      <c r="P53" s="48"/>
    </row>
    <row r="54" spans="1:16" ht="16" x14ac:dyDescent="0.35">
      <c r="A54" s="29"/>
      <c r="B54" s="29"/>
      <c r="C54" s="29"/>
      <c r="D54" s="29"/>
      <c r="E54" s="29"/>
      <c r="F54" s="29"/>
      <c r="G54" s="48">
        <f t="shared" si="3"/>
        <v>0</v>
      </c>
      <c r="H54" s="48"/>
      <c r="I54" s="48"/>
      <c r="J54" s="48"/>
      <c r="K54" s="48"/>
      <c r="L54" s="48"/>
      <c r="M54" s="48"/>
      <c r="N54" s="48"/>
      <c r="O54" s="48"/>
      <c r="P54" s="48"/>
    </row>
    <row r="55" spans="1:16" ht="16" x14ac:dyDescent="0.35">
      <c r="A55" s="29"/>
      <c r="B55" s="29"/>
      <c r="C55" s="29"/>
      <c r="D55" s="29"/>
      <c r="E55" s="29"/>
      <c r="F55" s="29"/>
      <c r="G55" s="48">
        <f t="shared" si="3"/>
        <v>0</v>
      </c>
      <c r="H55" s="48"/>
      <c r="I55" s="48"/>
      <c r="J55" s="48"/>
      <c r="K55" s="48"/>
      <c r="L55" s="48"/>
      <c r="M55" s="48"/>
      <c r="N55" s="48"/>
      <c r="O55" s="48"/>
      <c r="P55" s="48"/>
    </row>
    <row r="56" spans="1:16" ht="16" x14ac:dyDescent="0.35">
      <c r="A56" s="45"/>
      <c r="B56" s="46" t="s">
        <v>51</v>
      </c>
      <c r="C56" s="47"/>
      <c r="D56" s="45"/>
      <c r="E56" s="45"/>
      <c r="F56" s="47"/>
      <c r="G56" s="48">
        <f>E56</f>
        <v>0</v>
      </c>
      <c r="H56" s="48"/>
      <c r="I56" s="48"/>
      <c r="J56" s="48"/>
      <c r="K56" s="48"/>
      <c r="L56" s="48"/>
      <c r="M56" s="48"/>
      <c r="N56" s="48"/>
      <c r="O56" s="48"/>
      <c r="P56" s="48"/>
    </row>
    <row r="57" spans="1:16" ht="16" x14ac:dyDescent="0.35">
      <c r="A57" s="45"/>
      <c r="B57" s="46" t="s">
        <v>51</v>
      </c>
      <c r="C57" s="47"/>
      <c r="D57" s="45"/>
      <c r="E57" s="45"/>
      <c r="F57" s="47"/>
      <c r="G57" s="48">
        <f t="shared" ref="G57" si="4">E57</f>
        <v>0</v>
      </c>
      <c r="H57" s="48"/>
      <c r="I57" s="48"/>
      <c r="J57" s="48"/>
      <c r="K57" s="48"/>
      <c r="L57" s="48"/>
      <c r="M57" s="48"/>
      <c r="N57" s="48"/>
      <c r="O57" s="48"/>
      <c r="P57" s="48"/>
    </row>
    <row r="58" spans="1:16" ht="16" x14ac:dyDescent="0.35">
      <c r="A58" s="45"/>
      <c r="B58" s="46" t="s">
        <v>51</v>
      </c>
      <c r="C58" s="47"/>
      <c r="D58" s="45"/>
      <c r="E58" s="45"/>
      <c r="F58" s="47"/>
      <c r="G58" s="48">
        <f>E58</f>
        <v>0</v>
      </c>
      <c r="H58" s="48"/>
      <c r="I58" s="48"/>
      <c r="J58" s="48"/>
      <c r="K58" s="48"/>
      <c r="L58" s="48"/>
      <c r="M58" s="48"/>
      <c r="N58" s="48"/>
      <c r="O58" s="48"/>
      <c r="P58" s="48"/>
    </row>
    <row r="59" spans="1:16" ht="18.5" x14ac:dyDescent="0.35">
      <c r="A59" s="39" t="str">
        <f>_xlfn.CONCAT("Total = ", COUNTA(A40:A55))</f>
        <v>Total = 0</v>
      </c>
      <c r="B59" s="30"/>
      <c r="C59" s="39">
        <f>SUM(C40:C58)</f>
        <v>0</v>
      </c>
      <c r="D59" s="39">
        <f>SUM(D40:D58)</f>
        <v>0</v>
      </c>
      <c r="E59" s="39">
        <f>SUM(E40:E58)</f>
        <v>0</v>
      </c>
      <c r="F59" s="39"/>
      <c r="G59" s="49">
        <f>SUM(G40:P58)</f>
        <v>0</v>
      </c>
      <c r="H59" s="49"/>
      <c r="I59" s="49"/>
      <c r="J59" s="49"/>
      <c r="K59" s="49"/>
      <c r="L59" s="49"/>
      <c r="M59" s="49"/>
      <c r="N59" s="49"/>
      <c r="O59" s="49"/>
      <c r="P59" s="49"/>
    </row>
    <row r="60" spans="1:16" x14ac:dyDescent="0.35">
      <c r="A60" s="11"/>
    </row>
    <row r="61" spans="1:16" x14ac:dyDescent="0.35">
      <c r="A61" s="11"/>
    </row>
    <row r="62" spans="1:16" ht="21" x14ac:dyDescent="0.35">
      <c r="A62" s="18" t="s">
        <v>52</v>
      </c>
      <c r="B62" s="18"/>
    </row>
    <row r="63" spans="1:16" ht="21" x14ac:dyDescent="0.35">
      <c r="A63" s="19" t="s">
        <v>53</v>
      </c>
      <c r="B63" s="40">
        <f>SUM(COUNTA(A40:A55), COUNTA(A27:A30))</f>
        <v>0</v>
      </c>
    </row>
    <row r="64" spans="1:16" ht="21" x14ac:dyDescent="0.35">
      <c r="A64" s="19" t="s">
        <v>54</v>
      </c>
      <c r="B64" s="40">
        <f>SUM(C31+C59)</f>
        <v>0</v>
      </c>
    </row>
    <row r="65" spans="1:16" ht="21" x14ac:dyDescent="0.35">
      <c r="A65" s="19" t="s">
        <v>55</v>
      </c>
      <c r="B65" s="40">
        <f>SUM(D31+D59)</f>
        <v>0</v>
      </c>
    </row>
    <row r="66" spans="1:16" ht="21" x14ac:dyDescent="0.35">
      <c r="A66" s="19" t="s">
        <v>56</v>
      </c>
      <c r="B66" s="40">
        <f>SUM(E59+E31)</f>
        <v>0</v>
      </c>
    </row>
    <row r="67" spans="1:16" ht="21" x14ac:dyDescent="0.35">
      <c r="A67" s="19" t="s">
        <v>57</v>
      </c>
      <c r="B67" s="40">
        <f>SUM(G31+G59)</f>
        <v>0</v>
      </c>
    </row>
    <row r="68" spans="1:16" x14ac:dyDescent="0.35">
      <c r="A68" s="11"/>
    </row>
    <row r="69" spans="1:16" x14ac:dyDescent="0.35">
      <c r="A69" s="11"/>
    </row>
    <row r="70" spans="1:16" x14ac:dyDescent="0.35">
      <c r="A70" s="11"/>
    </row>
    <row r="71" spans="1:16" x14ac:dyDescent="0.35">
      <c r="A71" s="11"/>
    </row>
    <row r="72" spans="1:16" x14ac:dyDescent="0.35">
      <c r="A72" s="11"/>
    </row>
    <row r="73" spans="1:16" x14ac:dyDescent="0.35">
      <c r="A73" s="11"/>
    </row>
    <row r="74" spans="1:16" x14ac:dyDescent="0.35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2"/>
    </row>
  </sheetData>
  <mergeCells count="42">
    <mergeCell ref="B36:B37"/>
    <mergeCell ref="A1:P1"/>
    <mergeCell ref="I5:O5"/>
    <mergeCell ref="A16:P16"/>
    <mergeCell ref="A18:A19"/>
    <mergeCell ref="A36:A37"/>
    <mergeCell ref="G28:P28"/>
    <mergeCell ref="B23:B24"/>
    <mergeCell ref="G29:P29"/>
    <mergeCell ref="G30:P30"/>
    <mergeCell ref="G53:P53"/>
    <mergeCell ref="G39:P39"/>
    <mergeCell ref="G40:P40"/>
    <mergeCell ref="G42:P42"/>
    <mergeCell ref="A14:P14"/>
    <mergeCell ref="G31:P31"/>
    <mergeCell ref="A34:P34"/>
    <mergeCell ref="G26:P26"/>
    <mergeCell ref="G27:P27"/>
    <mergeCell ref="G41:P41"/>
    <mergeCell ref="A21:P21"/>
    <mergeCell ref="A23:A24"/>
    <mergeCell ref="B18:B19"/>
    <mergeCell ref="C17:O17"/>
    <mergeCell ref="C22:O22"/>
    <mergeCell ref="C35:O35"/>
    <mergeCell ref="G43:P43"/>
    <mergeCell ref="G45:P45"/>
    <mergeCell ref="G46:P46"/>
    <mergeCell ref="G51:P51"/>
    <mergeCell ref="G52:P52"/>
    <mergeCell ref="G47:P47"/>
    <mergeCell ref="G48:P48"/>
    <mergeCell ref="G49:P49"/>
    <mergeCell ref="G50:P50"/>
    <mergeCell ref="G44:P44"/>
    <mergeCell ref="G54:P54"/>
    <mergeCell ref="G55:P55"/>
    <mergeCell ref="G56:P56"/>
    <mergeCell ref="G57:P57"/>
    <mergeCell ref="G59:P59"/>
    <mergeCell ref="G58:P58"/>
  </mergeCells>
  <pageMargins left="0.7" right="0.7" top="0.75" bottom="0.75" header="0.3" footer="0.3"/>
  <pageSetup scale="63" fitToHeight="0" orientation="portrait" r:id="rId1"/>
  <headerFooter>
    <oddFooter>&amp;C_x000D_&amp;1#&amp;"Calibri"&amp;10&amp;K000000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3cc10e-2cad-4f5f-bab7-02a77004a961">
      <Terms xmlns="http://schemas.microsoft.com/office/infopath/2007/PartnerControls"/>
    </lcf76f155ced4ddcb4097134ff3c332f>
    <TaxCatchAll xmlns="92deb4b2-fc64-4089-80b3-13e3a10633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34DA3129D02947B0791360C01BF24D" ma:contentTypeVersion="13" ma:contentTypeDescription="Crear nuevo documento." ma:contentTypeScope="" ma:versionID="e534137a5a03b97b4965ec12b4d6062a">
  <xsd:schema xmlns:xsd="http://www.w3.org/2001/XMLSchema" xmlns:xs="http://www.w3.org/2001/XMLSchema" xmlns:p="http://schemas.microsoft.com/office/2006/metadata/properties" xmlns:ns2="a03cc10e-2cad-4f5f-bab7-02a77004a961" xmlns:ns3="92deb4b2-fc64-4089-80b3-13e3a106330d" targetNamespace="http://schemas.microsoft.com/office/2006/metadata/properties" ma:root="true" ma:fieldsID="97905fa7c59803c439e468852dc3762c" ns2:_="" ns3:_="">
    <xsd:import namespace="a03cc10e-2cad-4f5f-bab7-02a77004a961"/>
    <xsd:import namespace="92deb4b2-fc64-4089-80b3-13e3a1063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cc10e-2cad-4f5f-bab7-02a77004a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4c44e0f-d2ad-4f17-aec7-d0233bde22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eb4b2-fc64-4089-80b3-13e3a106330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0d38610-9499-4ef7-8670-b1fbbd8c80d9}" ma:internalName="TaxCatchAll" ma:showField="CatchAllData" ma:web="92deb4b2-fc64-4089-80b3-13e3a1063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37EB7-9432-4072-B54B-C6A115061383}">
  <ds:schemaRefs>
    <ds:schemaRef ds:uri="http://schemas.microsoft.com/office/2006/metadata/properties"/>
    <ds:schemaRef ds:uri="http://schemas.microsoft.com/office/infopath/2007/PartnerControls"/>
    <ds:schemaRef ds:uri="a03cc10e-2cad-4f5f-bab7-02a77004a961"/>
    <ds:schemaRef ds:uri="92deb4b2-fc64-4089-80b3-13e3a106330d"/>
  </ds:schemaRefs>
</ds:datastoreItem>
</file>

<file path=customXml/itemProps2.xml><?xml version="1.0" encoding="utf-8"?>
<ds:datastoreItem xmlns:ds="http://schemas.openxmlformats.org/officeDocument/2006/customXml" ds:itemID="{90F426DF-7D4A-40C4-8FAD-878F524EC0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707DC4-FCAE-4633-9E7C-123630AC9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3cc10e-2cad-4f5f-bab7-02a77004a961"/>
    <ds:schemaRef ds:uri="92deb4b2-fc64-4089-80b3-13e3a1063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7d4f798-c80d-4097-865e-5490a292574e}" enabled="1" method="Standard" siteId="{6e0b3bc1-0ced-4b99-b4fd-ea205864dd6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Shahed HOSSAN</dc:creator>
  <cp:keywords/>
  <dc:description/>
  <cp:lastModifiedBy>Eva Padilla | Procurement</cp:lastModifiedBy>
  <cp:revision/>
  <dcterms:created xsi:type="dcterms:W3CDTF">2025-09-23T03:48:42Z</dcterms:created>
  <dcterms:modified xsi:type="dcterms:W3CDTF">2026-04-17T17:31:22Z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0x010100E634DA3129D02947B0791360C01BF24D</vt:lpwstr>
  </property>
  <property fmtid="{D5CDD505-2E9C-101B-9397-08002B2CF9AE}" pid="3" name="MediaServiceImageTags">
    <vt:lpwstr/>
  </property>
</Properties>
</file>