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32">
    <font>
      <name val="Aptos Narrow"/>
      <family val="2"/>
      <color theme="1"/>
      <sz val="11"/>
      <scheme val="minor"/>
    </font>
    <font>
      <name val="Arial"/>
      <family val="2"/>
      <sz val="10"/>
    </font>
    <font>
      <name val="Aptos Display"/>
      <family val="2"/>
      <b val="1"/>
      <sz val="11"/>
      <scheme val="major"/>
    </font>
    <font>
      <name val="Aptos Display"/>
      <family val="2"/>
      <b val="1"/>
      <sz val="12"/>
      <scheme val="major"/>
    </font>
    <font>
      <name val="Aptos Display"/>
      <family val="2"/>
      <b val="1"/>
      <sz val="14"/>
      <scheme val="major"/>
    </font>
    <font>
      <name val="Aptos Narrow"/>
      <family val="2"/>
      <color theme="1"/>
      <sz val="11"/>
      <scheme val="minor"/>
    </font>
    <font>
      <name val="Aptos Display"/>
      <family val="2"/>
      <b val="1"/>
      <color theme="2"/>
      <sz val="12"/>
      <scheme val="major"/>
    </font>
    <font>
      <name val="Aptos Narrow"/>
      <family val="2"/>
      <b val="1"/>
      <color theme="2"/>
      <sz val="12"/>
      <scheme val="minor"/>
    </font>
    <font>
      <name val="Aptos Narrow"/>
      <family val="2"/>
      <b val="1"/>
      <color theme="3" tint="-0.749992370372631"/>
      <sz val="14"/>
      <scheme val="minor"/>
    </font>
    <font>
      <name val="Aptos Narrow"/>
      <family val="2"/>
      <color theme="3" tint="-0.749992370372631"/>
      <sz val="12"/>
      <scheme val="minor"/>
    </font>
    <font>
      <name val="Aptos Narrow"/>
      <family val="2"/>
      <b val="1"/>
      <color theme="3" tint="-0.749992370372631"/>
      <sz val="12"/>
      <scheme val="minor"/>
    </font>
    <font>
      <name val="Aptos Display"/>
      <family val="2"/>
      <b val="1"/>
      <color theme="3" tint="-0.749992370372631"/>
      <sz val="11"/>
      <scheme val="major"/>
    </font>
    <font>
      <name val="Aptos Narrow"/>
      <family val="2"/>
      <color theme="3" tint="-0.749992370372631"/>
      <sz val="11"/>
      <scheme val="minor"/>
    </font>
    <font>
      <name val="Aptos Display"/>
      <family val="2"/>
      <b val="1"/>
      <color theme="3" tint="-0.749992370372631"/>
      <sz val="10"/>
      <scheme val="major"/>
    </font>
    <font>
      <name val="Aptos Display"/>
      <family val="2"/>
      <color theme="3" tint="-0.749992370372631"/>
      <sz val="11"/>
      <scheme val="major"/>
    </font>
    <font>
      <name val="Aptos Narrow"/>
      <family val="2"/>
      <b val="1"/>
      <color theme="5" tint="-0.249977111117893"/>
      <sz val="14"/>
      <scheme val="minor"/>
    </font>
    <font>
      <name val="Aptos Narrow"/>
      <family val="2"/>
      <b val="1"/>
      <color theme="5" tint="-0.249977111117893"/>
      <sz val="12"/>
      <scheme val="minor"/>
    </font>
    <font>
      <name val="Aptos Narrow"/>
      <family val="2"/>
      <color theme="5" tint="-0.249977111117893"/>
      <sz val="14"/>
      <scheme val="minor"/>
    </font>
    <font>
      <name val="Aptos Display"/>
      <family val="2"/>
      <b val="1"/>
      <color theme="2"/>
      <sz val="16"/>
      <scheme val="major"/>
    </font>
    <font>
      <name val="Aptos Display"/>
      <family val="2"/>
      <color theme="2"/>
      <sz val="16"/>
      <scheme val="major"/>
    </font>
    <font>
      <name val="Aptos Narrow"/>
      <family val="2"/>
      <b val="1"/>
      <color theme="2"/>
      <sz val="16"/>
      <scheme val="minor"/>
    </font>
    <font>
      <name val="Aptos Display"/>
      <family val="2"/>
      <b val="1"/>
      <color theme="2"/>
      <sz val="14"/>
      <scheme val="major"/>
    </font>
    <font>
      <name val="Aptos Display"/>
      <family val="2"/>
      <b val="1"/>
      <color theme="2"/>
      <sz val="20"/>
      <scheme val="major"/>
    </font>
    <font>
      <name val="Aptos Display"/>
      <family val="2"/>
      <color theme="2"/>
      <sz val="20"/>
      <scheme val="major"/>
    </font>
    <font>
      <name val="Aptos Display"/>
      <family val="2"/>
      <color theme="8" tint="-0.499984740745262"/>
      <sz val="10"/>
      <scheme val="major"/>
    </font>
    <font>
      <name val="Aptos Display"/>
      <family val="2"/>
      <color theme="8" tint="-0.499984740745262"/>
      <sz val="11"/>
      <scheme val="major"/>
    </font>
    <font>
      <name val="Aptos Narrow"/>
      <family val="2"/>
      <b val="1"/>
      <color theme="6"/>
      <sz val="14"/>
      <scheme val="minor"/>
    </font>
    <font>
      <name val="Aptos Narrow"/>
      <family val="2"/>
      <color theme="6"/>
      <sz val="12"/>
      <scheme val="minor"/>
    </font>
    <font>
      <name val="Aptos Display"/>
      <family val="2"/>
      <b val="1"/>
      <color theme="6"/>
      <sz val="14"/>
      <scheme val="major"/>
    </font>
    <font>
      <name val="Aptos Narrow"/>
      <family val="2"/>
      <b val="1"/>
      <color theme="6"/>
      <sz val="12"/>
      <scheme val="minor"/>
    </font>
    <font>
      <name val="Aptos Narrow"/>
      <family val="2"/>
      <color theme="6"/>
      <sz val="14"/>
      <scheme val="minor"/>
    </font>
    <font>
      <name val="Aptos Narrow"/>
      <family val="2"/>
      <b val="1"/>
      <color theme="6"/>
      <sz val="16"/>
      <scheme val="minor"/>
    </font>
  </fonts>
  <fills count="9">
    <fill>
      <patternFill/>
    </fill>
    <fill>
      <patternFill patternType="gray125"/>
    </fill>
    <fill>
      <patternFill patternType="solid">
        <fgColor theme="1" tint="-0.499984740745262"/>
        <bgColor indexed="64"/>
      </patternFill>
    </fill>
    <fill>
      <patternFill patternType="solid">
        <fgColor theme="1" tint="-0.249977111117893"/>
        <bgColor indexed="64"/>
      </patternFill>
    </fill>
    <fill>
      <patternFill patternType="solid">
        <fgColor theme="1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3" tint="-0.0999786370433668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 style="thin">
        <color indexed="64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5" fillId="0" borderId="0"/>
    <xf numFmtId="0" fontId="1" fillId="0" borderId="0"/>
    <xf numFmtId="0" fontId="1" fillId="0" borderId="0"/>
    <xf numFmtId="43" fontId="5" fillId="0" borderId="0"/>
  </cellStyleXfs>
  <cellXfs count="68">
    <xf numFmtId="0" fontId="0" fillId="0" borderId="0" pivotButton="0" quotePrefix="0" xfId="0"/>
    <xf numFmtId="0" fontId="0" fillId="0" borderId="0" applyAlignment="1" applyProtection="1" pivotButton="0" quotePrefix="0" xfId="0">
      <alignment vertical="center"/>
      <protection locked="0" hidden="0"/>
    </xf>
    <xf numFmtId="0" fontId="15" fillId="0" borderId="5" applyAlignment="1" applyProtection="1" pivotButton="0" quotePrefix="0" xfId="0">
      <alignment vertical="center"/>
      <protection locked="0" hidden="0"/>
    </xf>
    <xf numFmtId="0" fontId="0" fillId="0" borderId="6" applyAlignment="1" applyProtection="1" pivotButton="0" quotePrefix="0" xfId="0">
      <alignment vertical="center"/>
      <protection locked="0" hidden="0"/>
    </xf>
    <xf numFmtId="0" fontId="15" fillId="0" borderId="4" applyAlignment="1" applyProtection="1" pivotButton="0" quotePrefix="0" xfId="0">
      <alignment vertical="center"/>
      <protection locked="0" hidden="0"/>
    </xf>
    <xf numFmtId="0" fontId="16" fillId="0" borderId="4" applyAlignment="1" applyProtection="1" pivotButton="0" quotePrefix="0" xfId="0">
      <alignment horizontal="left" vertical="center"/>
      <protection locked="0" hidden="0"/>
    </xf>
    <xf numFmtId="0" fontId="4" fillId="4" borderId="4" applyAlignment="1" applyProtection="1" pivotButton="0" quotePrefix="0" xfId="1">
      <alignment horizontal="center" vertical="center"/>
      <protection locked="0" hidden="0"/>
    </xf>
    <xf numFmtId="0" fontId="3" fillId="4" borderId="4" applyAlignment="1" applyProtection="1" pivotButton="0" quotePrefix="0" xfId="1">
      <alignment horizontal="center" vertical="center"/>
      <protection locked="0" hidden="0"/>
    </xf>
    <xf numFmtId="0" fontId="0" fillId="0" borderId="1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0" fillId="0" borderId="6" applyAlignment="1" applyProtection="1" pivotButton="0" quotePrefix="0" xfId="0">
      <alignment horizontal="center" vertical="center"/>
      <protection locked="0" hidden="0"/>
    </xf>
    <xf numFmtId="0" fontId="0" fillId="0" borderId="1" applyAlignment="1" applyProtection="1" pivotButton="0" quotePrefix="0" xfId="0">
      <alignment vertical="center"/>
      <protection locked="0" hidden="0"/>
    </xf>
    <xf numFmtId="0" fontId="6" fillId="3" borderId="4" applyAlignment="1" applyProtection="1" pivotButton="0" quotePrefix="0" xfId="0">
      <alignment horizontal="center" vertical="center"/>
      <protection locked="0" hidden="0"/>
    </xf>
    <xf numFmtId="0" fontId="12" fillId="0" borderId="4" applyAlignment="1" applyProtection="1" pivotButton="0" quotePrefix="0" xfId="0">
      <alignment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7" fillId="3" borderId="4" applyAlignment="1" applyProtection="1" pivotButton="0" quotePrefix="0" xfId="0">
      <alignment horizontal="center" vertical="center"/>
      <protection locked="0" hidden="0"/>
    </xf>
    <xf numFmtId="0" fontId="7" fillId="3" borderId="4" applyAlignment="1" applyProtection="1" pivotButton="0" quotePrefix="0" xfId="0">
      <alignment horizontal="center" vertical="center" wrapText="1"/>
      <protection locked="0" hidden="0"/>
    </xf>
    <xf numFmtId="0" fontId="20" fillId="2" borderId="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horizontal="left" vertical="center"/>
      <protection locked="0" hidden="0"/>
    </xf>
    <xf numFmtId="0" fontId="0" fillId="0" borderId="2" applyAlignment="1" applyProtection="1" pivotButton="0" quotePrefix="0" xfId="0">
      <alignment vertical="center"/>
      <protection locked="0" hidden="0"/>
    </xf>
    <xf numFmtId="0" fontId="0" fillId="0" borderId="3" applyAlignment="1" applyProtection="1" pivotButton="0" quotePrefix="0" xfId="0">
      <alignment vertical="center"/>
      <protection locked="0" hidden="0"/>
    </xf>
    <xf numFmtId="0" fontId="0" fillId="0" borderId="7" applyAlignment="1" applyProtection="1" pivotButton="0" quotePrefix="0" xfId="0">
      <alignment vertical="center"/>
      <protection locked="0" hidden="0"/>
    </xf>
    <xf numFmtId="0" fontId="15" fillId="5" borderId="5" applyAlignment="1" applyProtection="1" pivotButton="0" quotePrefix="0" xfId="0">
      <alignment vertical="center"/>
      <protection locked="0" hidden="0"/>
    </xf>
    <xf numFmtId="0" fontId="15" fillId="5" borderId="4" applyAlignment="1" applyProtection="1" pivotButton="0" quotePrefix="0" xfId="0">
      <alignment horizontal="left" vertical="center"/>
      <protection locked="0" hidden="0"/>
    </xf>
    <xf numFmtId="0" fontId="17" fillId="5" borderId="4" applyAlignment="1" applyProtection="1" pivotButton="0" quotePrefix="0" xfId="0">
      <alignment horizontal="left" vertical="center"/>
      <protection locked="0" hidden="0"/>
    </xf>
    <xf numFmtId="0" fontId="11" fillId="5" borderId="4" applyAlignment="1" applyProtection="1" pivotButton="0" quotePrefix="0" xfId="0">
      <alignment horizontal="center" vertical="center"/>
      <protection locked="0" hidden="0"/>
    </xf>
    <xf numFmtId="49" fontId="11" fillId="5" borderId="4" applyAlignment="1" applyProtection="1" pivotButton="0" quotePrefix="0" xfId="0">
      <alignment horizontal="center" vertical="center"/>
      <protection locked="0" hidden="0"/>
    </xf>
    <xf numFmtId="0" fontId="10" fillId="5" borderId="4" applyAlignment="1" applyProtection="1" pivotButton="0" quotePrefix="0" xfId="0">
      <alignment horizontal="center" vertical="center"/>
      <protection locked="0" hidden="0"/>
    </xf>
    <xf numFmtId="0" fontId="9" fillId="5" borderId="4" applyAlignment="1" applyProtection="1" pivotButton="0" quotePrefix="0" xfId="0">
      <alignment horizontal="center" vertical="center"/>
      <protection locked="0" hidden="0"/>
    </xf>
    <xf numFmtId="0" fontId="26" fillId="6" borderId="4" applyAlignment="1" applyProtection="1" pivotButton="0" quotePrefix="0" xfId="0">
      <alignment horizontal="center" vertical="center"/>
      <protection locked="0" hidden="0"/>
    </xf>
    <xf numFmtId="0" fontId="13" fillId="5" borderId="4" applyAlignment="1" applyProtection="1" pivotButton="0" quotePrefix="0" xfId="0">
      <alignment horizontal="center" vertical="center"/>
      <protection locked="0" hidden="0"/>
    </xf>
    <xf numFmtId="0" fontId="14" fillId="5" borderId="4" applyAlignment="1" applyProtection="1" pivotButton="0" quotePrefix="0" xfId="0">
      <alignment horizontal="center" vertical="center"/>
      <protection locked="0" hidden="0"/>
    </xf>
    <xf numFmtId="0" fontId="14" fillId="5" borderId="4" applyAlignment="1" applyProtection="1" pivotButton="0" quotePrefix="0" xfId="0">
      <alignment horizontal="center" vertical="center" wrapText="1"/>
      <protection locked="0" hidden="0"/>
    </xf>
    <xf numFmtId="0" fontId="24" fillId="5" borderId="4" applyAlignment="1" applyProtection="1" pivotButton="0" quotePrefix="0" xfId="0">
      <alignment horizontal="center" vertical="center"/>
      <protection locked="0" hidden="0"/>
    </xf>
    <xf numFmtId="0" fontId="25" fillId="5" borderId="4" applyAlignment="1" applyProtection="1" pivotButton="0" quotePrefix="0" xfId="0">
      <alignment horizontal="center" vertical="center"/>
      <protection locked="0" hidden="0"/>
    </xf>
    <xf numFmtId="49" fontId="10" fillId="5" borderId="4" applyAlignment="1" applyProtection="1" pivotButton="0" quotePrefix="0" xfId="0">
      <alignment horizontal="center" vertical="center"/>
      <protection locked="0" hidden="0"/>
    </xf>
    <xf numFmtId="0" fontId="30" fillId="6" borderId="4" applyAlignment="1" applyProtection="1" pivotButton="0" quotePrefix="0" xfId="0">
      <alignment horizontal="left" vertical="center"/>
      <protection locked="1" hidden="1"/>
    </xf>
    <xf numFmtId="0" fontId="28" fillId="6" borderId="4" applyAlignment="1" applyProtection="1" pivotButton="0" quotePrefix="0" xfId="0">
      <alignment horizontal="center" vertical="center"/>
      <protection locked="1" hidden="1"/>
    </xf>
    <xf numFmtId="0" fontId="26" fillId="6" borderId="4" applyAlignment="1" applyProtection="1" pivotButton="0" quotePrefix="0" xfId="0">
      <alignment horizontal="center" vertical="center"/>
      <protection locked="1" hidden="1"/>
    </xf>
    <xf numFmtId="164" fontId="31" fillId="6" borderId="4" applyAlignment="1" applyProtection="1" pivotButton="0" quotePrefix="0" xfId="3">
      <alignment horizontal="left" vertical="center"/>
      <protection locked="1" hidden="1"/>
    </xf>
    <xf numFmtId="16" fontId="11" fillId="5" borderId="4" applyAlignment="1" applyProtection="1" pivotButton="0" quotePrefix="1" xfId="0">
      <alignment horizontal="center" vertical="center"/>
      <protection locked="0" hidden="0"/>
    </xf>
    <xf numFmtId="0" fontId="6" fillId="3" borderId="4" applyAlignment="1" applyProtection="1" pivotButton="0" quotePrefix="1" xfId="0">
      <alignment horizontal="center" vertical="center"/>
      <protection locked="0" hidden="0"/>
    </xf>
    <xf numFmtId="0" fontId="11" fillId="5" borderId="4" applyAlignment="1" applyProtection="1" pivotButton="0" quotePrefix="1" xfId="0">
      <alignment horizontal="center" vertical="center"/>
      <protection locked="0" hidden="0"/>
    </xf>
    <xf numFmtId="0" fontId="10" fillId="5" borderId="4" applyAlignment="1" applyProtection="1" pivotButton="0" quotePrefix="1" xfId="0">
      <alignment horizontal="center" vertical="center"/>
      <protection locked="0" hidden="0"/>
    </xf>
    <xf numFmtId="0" fontId="9" fillId="8" borderId="4" applyAlignment="1" applyProtection="1" pivotButton="0" quotePrefix="0" xfId="0">
      <alignment horizontal="center" vertical="center"/>
      <protection locked="0" hidden="0"/>
    </xf>
    <xf numFmtId="0" fontId="10" fillId="8" borderId="4" applyAlignment="1" applyProtection="1" pivotButton="0" quotePrefix="0" xfId="0">
      <alignment horizontal="center" vertical="center"/>
      <protection locked="0" hidden="0"/>
    </xf>
    <xf numFmtId="0" fontId="27" fillId="6" borderId="4" applyAlignment="1" applyProtection="1" pivotButton="0" quotePrefix="0" xfId="0">
      <alignment horizontal="center" vertical="center"/>
      <protection locked="1" hidden="1"/>
    </xf>
    <xf numFmtId="0" fontId="27" fillId="6" borderId="4" applyAlignment="1" applyProtection="1" pivotButton="0" quotePrefix="0" xfId="0">
      <alignment horizontal="center" vertical="center"/>
      <protection locked="1" hidden="1"/>
    </xf>
    <xf numFmtId="0" fontId="26" fillId="6" borderId="4" applyAlignment="1" applyProtection="1" pivotButton="0" quotePrefix="0" xfId="0">
      <alignment horizontal="center" vertical="center"/>
      <protection locked="1" hidden="1"/>
    </xf>
    <xf numFmtId="0" fontId="7" fillId="3" borderId="4" applyAlignment="1" applyProtection="1" pivotButton="0" quotePrefix="0" xfId="0">
      <alignment horizontal="center" vertical="center"/>
      <protection locked="0" hidden="0"/>
    </xf>
    <xf numFmtId="0" fontId="0" fillId="7" borderId="4" applyAlignment="1" applyProtection="1" pivotButton="0" quotePrefix="0" xfId="0">
      <alignment horizontal="center" vertical="center"/>
      <protection locked="0" hidden="0"/>
    </xf>
    <xf numFmtId="0" fontId="18" fillId="2" borderId="4" applyAlignment="1" applyProtection="1" pivotButton="0" quotePrefix="0" xfId="0">
      <alignment horizontal="center" vertical="center"/>
      <protection locked="0" hidden="0"/>
    </xf>
    <xf numFmtId="0" fontId="19" fillId="2" borderId="4" applyAlignment="1" applyProtection="1" pivotButton="0" quotePrefix="0" xfId="0">
      <alignment vertical="center"/>
      <protection locked="0" hidden="0"/>
    </xf>
    <xf numFmtId="0" fontId="29" fillId="6" borderId="4" applyAlignment="1" applyProtection="1" pivotButton="0" quotePrefix="0" xfId="0">
      <alignment horizontal="center" vertical="center"/>
      <protection locked="1" hidden="1"/>
    </xf>
    <xf numFmtId="0" fontId="11" fillId="5" borderId="4" applyAlignment="1" applyProtection="1" pivotButton="0" quotePrefix="0" xfId="0">
      <alignment horizontal="center" vertical="center"/>
      <protection locked="0" hidden="0"/>
    </xf>
    <xf numFmtId="0" fontId="6" fillId="3" borderId="4" applyAlignment="1" applyProtection="1" pivotButton="0" quotePrefix="0" xfId="0">
      <alignment horizontal="center" vertical="center"/>
      <protection locked="0" hidden="0"/>
    </xf>
    <xf numFmtId="0" fontId="11" fillId="5" borderId="4" applyAlignment="1" applyProtection="1" pivotButton="0" quotePrefix="0" xfId="0">
      <alignment horizontal="center" vertical="center"/>
      <protection locked="1" hidden="1"/>
    </xf>
    <xf numFmtId="0" fontId="22" fillId="2" borderId="4" applyAlignment="1" applyProtection="1" pivotButton="0" quotePrefix="0" xfId="0">
      <alignment horizontal="center" vertical="center"/>
      <protection locked="0" hidden="0"/>
    </xf>
    <xf numFmtId="0" fontId="23" fillId="2" borderId="4" applyAlignment="1" applyProtection="1" pivotButton="0" quotePrefix="0" xfId="0">
      <alignment vertical="center"/>
      <protection locked="0" hidden="0"/>
    </xf>
    <xf numFmtId="0" fontId="21" fillId="2" borderId="4" applyAlignment="1" applyProtection="1" pivotButton="0" quotePrefix="0" xfId="1">
      <alignment horizontal="center" vertical="center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5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164" fontId="31" fillId="6" borderId="4" applyAlignment="1" applyProtection="1" pivotButton="0" quotePrefix="0" xfId="3">
      <alignment horizontal="left" vertical="center"/>
      <protection locked="1" hidden="1"/>
    </xf>
  </cellXfs>
  <cellStyles count="4">
    <cellStyle name="Normal" xfId="0" builtinId="0"/>
    <cellStyle name="Normal 5" xfId="1"/>
    <cellStyle name="Normal 2" xfId="2"/>
    <cellStyle name="Comma" xfId="3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yA2">
      <a:dk1>
        <a:srgbClr val="4E8B9B"/>
      </a:dk1>
      <a:lt1>
        <a:srgbClr val="FFFFFF"/>
      </a:lt1>
      <a:dk2>
        <a:srgbClr val="CCCCCC"/>
      </a:dk2>
      <a:lt2>
        <a:srgbClr val="FFFFFF"/>
      </a:lt2>
      <a:accent1>
        <a:srgbClr val="4E8B9B"/>
      </a:accent1>
      <a:accent2>
        <a:srgbClr val="414041"/>
      </a:accent2>
      <a:accent3>
        <a:srgbClr val="838588"/>
      </a:accent3>
      <a:accent4>
        <a:srgbClr val="7EA7AD"/>
      </a:accent4>
      <a:accent5>
        <a:srgbClr val="FE7B6E"/>
      </a:accent5>
      <a:accent6>
        <a:srgbClr val="FFFFFF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74"/>
  <sheetViews>
    <sheetView tabSelected="1" zoomScale="115" zoomScaleNormal="115" workbookViewId="0">
      <selection activeCell="B12" sqref="B12"/>
    </sheetView>
  </sheetViews>
  <sheetFormatPr baseColWidth="8" defaultColWidth="30.453125" defaultRowHeight="14.5"/>
  <cols>
    <col width="43.54296875" bestFit="1" customWidth="1" style="1" min="1" max="1"/>
    <col width="57" bestFit="1" customWidth="1" style="1" min="2" max="2"/>
    <col width="27.54296875" bestFit="1" customWidth="1" style="1" min="3" max="3"/>
    <col width="10.1796875" bestFit="1" customWidth="1" style="1" min="4" max="4"/>
    <col width="10.54296875" bestFit="1" customWidth="1" style="1" min="5" max="5"/>
    <col width="10.54296875" customWidth="1" style="1" min="6" max="6"/>
    <col width="3.54296875" bestFit="1" customWidth="1" style="1" min="7" max="8"/>
    <col width="14" bestFit="1" customWidth="1" style="1" min="9" max="9"/>
    <col width="7.1796875" bestFit="1" customWidth="1" style="1" min="10" max="14"/>
    <col width="10.54296875" bestFit="1" customWidth="1" style="1" min="15" max="15"/>
    <col width="7.7265625" bestFit="1" customWidth="1" style="3" min="16" max="16"/>
    <col width="30.453125" customWidth="1" style="1" min="17" max="16384"/>
  </cols>
  <sheetData>
    <row r="1" ht="26" customHeight="1">
      <c r="A1" s="58" t="inlineStr">
        <is>
          <t>PACKING LIST: C&amp;A</t>
        </is>
      </c>
      <c r="B1" s="61" t="n"/>
      <c r="C1" s="61" t="n"/>
      <c r="D1" s="61" t="n"/>
      <c r="E1" s="61" t="n"/>
      <c r="F1" s="61" t="n"/>
      <c r="G1" s="61" t="n"/>
      <c r="H1" s="61" t="n"/>
      <c r="I1" s="61" t="n"/>
      <c r="J1" s="61" t="n"/>
      <c r="K1" s="61" t="n"/>
      <c r="L1" s="61" t="n"/>
      <c r="M1" s="61" t="n"/>
      <c r="N1" s="61" t="n"/>
      <c r="O1" s="61" t="n"/>
      <c r="P1" s="62" t="n"/>
    </row>
    <row r="2" ht="18.5" customHeight="1">
      <c r="A2" s="2" t="inlineStr">
        <is>
          <t>Shipper/Exporter Name:</t>
        </is>
      </c>
      <c r="B2" s="23" t="inlineStr">
        <is>
          <t>CONCEPTOS NANCY SA DE CV</t>
        </is>
      </c>
    </row>
    <row r="3" ht="18.5" customHeight="1">
      <c r="A3" s="4" t="inlineStr">
        <is>
          <t>Shipper Code:</t>
        </is>
      </c>
      <c r="B3" s="24" t="n"/>
    </row>
    <row r="4" ht="18.5" customHeight="1">
      <c r="A4" s="4" t="inlineStr">
        <is>
          <t>Model No:</t>
        </is>
      </c>
      <c r="B4" s="24" t="inlineStr">
        <is>
          <t>3130416</t>
        </is>
      </c>
    </row>
    <row r="5" ht="18.5" customHeight="1">
      <c r="A5" s="5" t="inlineStr">
        <is>
          <t>DIVISION:</t>
        </is>
      </c>
      <c r="B5" s="25" t="inlineStr">
        <is>
          <t>1- MUJER</t>
        </is>
      </c>
      <c r="I5" s="60" t="inlineStr">
        <is>
          <t>Outer box dimensions (in CM)</t>
        </is>
      </c>
      <c r="J5" s="61" t="n"/>
      <c r="K5" s="61" t="n"/>
      <c r="L5" s="61" t="n"/>
      <c r="M5" s="61" t="n"/>
      <c r="N5" s="61" t="n"/>
      <c r="O5" s="62" t="n"/>
    </row>
    <row r="6" ht="18.5" customHeight="1">
      <c r="A6" s="5" t="inlineStr">
        <is>
          <t>PURCHASE ORDER:</t>
        </is>
      </c>
      <c r="B6" s="25" t="inlineStr">
        <is>
          <t>619106</t>
        </is>
      </c>
      <c r="I6" s="6" t="n"/>
      <c r="J6" s="7" t="inlineStr">
        <is>
          <t>Dim. 1</t>
        </is>
      </c>
      <c r="K6" s="7" t="inlineStr">
        <is>
          <t>Dim. 2</t>
        </is>
      </c>
      <c r="L6" s="7" t="inlineStr">
        <is>
          <t>Dim. 3</t>
        </is>
      </c>
      <c r="M6" s="7" t="inlineStr">
        <is>
          <t>Dim. 4</t>
        </is>
      </c>
      <c r="N6" s="7" t="inlineStr">
        <is>
          <t>Dim. 5</t>
        </is>
      </c>
      <c r="O6" s="7" t="inlineStr">
        <is>
          <t>Dim. 6</t>
        </is>
      </c>
    </row>
    <row r="7" ht="18.5" customHeight="1">
      <c r="A7" s="5" t="inlineStr">
        <is>
          <t>TOTAL CARTONS:</t>
        </is>
      </c>
      <c r="B7" s="37">
        <f>C31+C59</f>
        <v/>
      </c>
      <c r="I7" s="31" t="inlineStr">
        <is>
          <t>Height (cm)</t>
        </is>
      </c>
      <c r="J7" s="32" t="n">
        <v>30</v>
      </c>
      <c r="K7" s="32" t="n">
        <v>10</v>
      </c>
      <c r="L7" s="32" t="n"/>
      <c r="M7" s="32" t="n"/>
      <c r="N7" s="32" t="n"/>
      <c r="O7" s="32" t="n"/>
    </row>
    <row r="8" ht="18.5" customHeight="1">
      <c r="A8" s="5" t="inlineStr">
        <is>
          <t>TOTAL PIECES:</t>
        </is>
      </c>
      <c r="B8" s="37">
        <f>SUM(G31,G59)</f>
        <v/>
      </c>
      <c r="I8" s="31" t="inlineStr">
        <is>
          <t>Length (cm)</t>
        </is>
      </c>
      <c r="J8" s="32" t="n">
        <v>60</v>
      </c>
      <c r="K8" s="32" t="n">
        <v>40</v>
      </c>
      <c r="L8" s="32" t="n"/>
      <c r="M8" s="32" t="n"/>
      <c r="N8" s="32" t="n"/>
      <c r="O8" s="33" t="n"/>
    </row>
    <row r="9" ht="18.5" customHeight="1">
      <c r="A9" s="5" t="inlineStr">
        <is>
          <t>GROSS WEIGHT PER ORDER:</t>
        </is>
      </c>
      <c r="B9" s="25" t="n"/>
      <c r="I9" s="31" t="inlineStr">
        <is>
          <t>Width (cm)</t>
        </is>
      </c>
      <c r="J9" s="32" t="n">
        <v>40</v>
      </c>
      <c r="K9" s="32" t="n">
        <v>30</v>
      </c>
      <c r="L9" s="32" t="n"/>
      <c r="M9" s="32" t="n"/>
      <c r="N9" s="32" t="n"/>
      <c r="O9" s="33" t="n"/>
    </row>
    <row r="10" ht="18.5" customHeight="1">
      <c r="A10" s="5" t="inlineStr">
        <is>
          <t>NET WEIGHT PER ORDER:</t>
        </is>
      </c>
      <c r="B10" s="25" t="n"/>
      <c r="I10" s="34" t="inlineStr">
        <is>
          <t>total cartons:</t>
        </is>
      </c>
      <c r="J10" s="35" t="n">
        <v>14</v>
      </c>
      <c r="K10" s="35" t="n">
        <v>5</v>
      </c>
      <c r="L10" s="35" t="n"/>
      <c r="M10" s="35" t="n"/>
      <c r="N10" s="35" t="n"/>
      <c r="O10" s="35" t="n"/>
    </row>
    <row r="11" ht="18.5" customHeight="1">
      <c r="A11" s="5" t="inlineStr">
        <is>
          <t>CBM</t>
        </is>
      </c>
      <c r="B11" s="25" t="n"/>
    </row>
    <row r="12" ht="18.5" customHeight="1">
      <c r="A12" s="5" t="inlineStr">
        <is>
          <t>INVOICE Number</t>
        </is>
      </c>
      <c r="B12" s="25" t="n"/>
    </row>
    <row r="13">
      <c r="A13" s="8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10" t="n"/>
    </row>
    <row r="14">
      <c r="A14" s="51" t="n"/>
      <c r="B14" s="61" t="n"/>
      <c r="C14" s="61" t="n"/>
      <c r="D14" s="61" t="n"/>
      <c r="E14" s="61" t="n"/>
      <c r="F14" s="61" t="n"/>
      <c r="G14" s="61" t="n"/>
      <c r="H14" s="61" t="n"/>
      <c r="I14" s="61" t="n"/>
      <c r="J14" s="61" t="n"/>
      <c r="K14" s="61" t="n"/>
      <c r="L14" s="61" t="n"/>
      <c r="M14" s="61" t="n"/>
      <c r="N14" s="61" t="n"/>
      <c r="O14" s="61" t="n"/>
      <c r="P14" s="62" t="n"/>
    </row>
    <row r="15">
      <c r="A15" s="11" t="n"/>
    </row>
    <row r="16" ht="21" customHeight="1">
      <c r="A16" s="52" t="inlineStr">
        <is>
          <t>Packing Details (Ratio Pack):</t>
        </is>
      </c>
      <c r="B16" s="61" t="n"/>
      <c r="C16" s="61" t="n"/>
      <c r="D16" s="61" t="n"/>
      <c r="E16" s="61" t="n"/>
      <c r="F16" s="61" t="n"/>
      <c r="G16" s="61" t="n"/>
      <c r="H16" s="61" t="n"/>
      <c r="I16" s="61" t="n"/>
      <c r="J16" s="61" t="n"/>
      <c r="K16" s="61" t="n"/>
      <c r="L16" s="61" t="n"/>
      <c r="M16" s="61" t="n"/>
      <c r="N16" s="61" t="n"/>
      <c r="O16" s="61" t="n"/>
      <c r="P16" s="62" t="n"/>
    </row>
    <row r="17" ht="16" customHeight="1">
      <c r="A17" s="56" t="inlineStr">
        <is>
          <t>PACK:</t>
        </is>
      </c>
      <c r="B17" s="56" t="inlineStr">
        <is>
          <t>COLOR</t>
        </is>
      </c>
      <c r="C17" s="56" t="inlineStr">
        <is>
          <t>SIZES</t>
        </is>
      </c>
      <c r="D17" s="61" t="n"/>
      <c r="E17" s="61" t="n"/>
      <c r="F17" s="61" t="n"/>
      <c r="G17" s="61" t="n"/>
      <c r="H17" s="61" t="n"/>
      <c r="I17" s="61" t="n"/>
      <c r="J17" s="61" t="n"/>
      <c r="K17" s="61" t="n"/>
      <c r="L17" s="61" t="n"/>
      <c r="M17" s="61" t="n"/>
      <c r="N17" s="61" t="n"/>
      <c r="O17" s="62" t="n"/>
      <c r="P17" s="42" t="inlineStr"/>
    </row>
    <row r="18">
      <c r="A18" s="55" t="inlineStr">
        <is>
          <t>A</t>
        </is>
      </c>
      <c r="B18" s="55" t="inlineStr">
        <is>
          <t>CRUDO</t>
        </is>
      </c>
      <c r="C18" s="41" t="inlineStr">
        <is>
          <t>ECH</t>
        </is>
      </c>
      <c r="D18" s="43" t="inlineStr">
        <is>
          <t>CH</t>
        </is>
      </c>
      <c r="E18" s="43" t="inlineStr">
        <is>
          <t>M</t>
        </is>
      </c>
      <c r="F18" s="43" t="inlineStr">
        <is>
          <t>G</t>
        </is>
      </c>
      <c r="G18" s="55" t="inlineStr">
        <is>
          <t>EG</t>
        </is>
      </c>
      <c r="H18" s="55" t="n"/>
      <c r="I18" s="27" t="n"/>
      <c r="J18" s="27" t="n"/>
      <c r="K18" s="27" t="n"/>
      <c r="L18" s="27" t="n"/>
      <c r="M18" s="27" t="n"/>
      <c r="N18" s="27" t="n"/>
      <c r="O18" s="27" t="n"/>
      <c r="P18" s="13" t="n"/>
    </row>
    <row r="19" ht="18.5" customHeight="1">
      <c r="A19" s="63" t="n"/>
      <c r="B19" s="63" t="n"/>
      <c r="C19" s="55" t="n">
        <v>1</v>
      </c>
      <c r="D19" s="55" t="n">
        <v>3</v>
      </c>
      <c r="E19" s="55" t="n">
        <v>3</v>
      </c>
      <c r="F19" s="55" t="n">
        <v>2</v>
      </c>
      <c r="G19" s="55" t="n">
        <v>1</v>
      </c>
      <c r="H19" s="55" t="n"/>
      <c r="I19" s="55" t="n"/>
      <c r="J19" s="55" t="n"/>
      <c r="K19" s="55" t="n"/>
      <c r="L19" s="55" t="n"/>
      <c r="M19" s="55" t="n"/>
      <c r="N19" s="55" t="n"/>
      <c r="O19" s="27" t="n"/>
      <c r="P19" s="38">
        <f>SUM(C19:N19)</f>
        <v/>
      </c>
    </row>
    <row r="20">
      <c r="A20" s="14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</row>
    <row r="21" ht="21" customHeight="1">
      <c r="A21" s="52" t="inlineStr">
        <is>
          <t>Packing Details (Ratio Pack):</t>
        </is>
      </c>
      <c r="B21" s="61" t="n"/>
      <c r="C21" s="61" t="n"/>
      <c r="D21" s="61" t="n"/>
      <c r="E21" s="61" t="n"/>
      <c r="F21" s="61" t="n"/>
      <c r="G21" s="61" t="n"/>
      <c r="H21" s="61" t="n"/>
      <c r="I21" s="61" t="n"/>
      <c r="J21" s="61" t="n"/>
      <c r="K21" s="61" t="n"/>
      <c r="L21" s="61" t="n"/>
      <c r="M21" s="61" t="n"/>
      <c r="N21" s="61" t="n"/>
      <c r="O21" s="61" t="n"/>
      <c r="P21" s="62" t="n"/>
    </row>
    <row r="22" ht="16" customHeight="1">
      <c r="A22" s="56" t="inlineStr">
        <is>
          <t>PACK:</t>
        </is>
      </c>
      <c r="B22" s="56" t="inlineStr">
        <is>
          <t>COLOR</t>
        </is>
      </c>
      <c r="C22" s="56" t="inlineStr">
        <is>
          <t>SIZES</t>
        </is>
      </c>
      <c r="D22" s="61" t="n"/>
      <c r="E22" s="61" t="n"/>
      <c r="F22" s="61" t="n"/>
      <c r="G22" s="61" t="n"/>
      <c r="H22" s="61" t="n"/>
      <c r="I22" s="61" t="n"/>
      <c r="J22" s="61" t="n"/>
      <c r="K22" s="61" t="n"/>
      <c r="L22" s="61" t="n"/>
      <c r="M22" s="61" t="n"/>
      <c r="N22" s="61" t="n"/>
      <c r="O22" s="62" t="n"/>
      <c r="P22" s="56" t="inlineStr">
        <is>
          <t>TOTAL</t>
        </is>
      </c>
    </row>
    <row r="23">
      <c r="A23" s="55" t="inlineStr">
        <is>
          <t>B</t>
        </is>
      </c>
      <c r="B23" s="57">
        <f>+B18</f>
        <v/>
      </c>
      <c r="C23" s="41" t="inlineStr">
        <is>
          <t>ECH</t>
        </is>
      </c>
      <c r="D23" s="43" t="inlineStr">
        <is>
          <t>CH</t>
        </is>
      </c>
      <c r="E23" s="43" t="inlineStr">
        <is>
          <t>M</t>
        </is>
      </c>
      <c r="F23" s="43" t="inlineStr">
        <is>
          <t>G</t>
        </is>
      </c>
      <c r="G23" s="55" t="inlineStr">
        <is>
          <t>EG</t>
        </is>
      </c>
      <c r="H23" s="55" t="n"/>
      <c r="I23" s="27" t="n"/>
      <c r="J23" s="27" t="n"/>
      <c r="K23" s="27" t="n"/>
      <c r="L23" s="27" t="n"/>
      <c r="M23" s="27" t="n"/>
      <c r="N23" s="27" t="n"/>
      <c r="O23" s="27" t="n"/>
      <c r="P23" s="13" t="n"/>
    </row>
    <row r="24" ht="18.5" customHeight="1">
      <c r="A24" s="63" t="n"/>
      <c r="B24" s="64" t="n"/>
      <c r="C24" s="55" t="n"/>
      <c r="D24" s="55" t="n">
        <v>1</v>
      </c>
      <c r="E24" s="55" t="n">
        <v>3</v>
      </c>
      <c r="F24" s="55" t="n">
        <v>2</v>
      </c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38">
        <f>SUM(C24:O24)</f>
        <v/>
      </c>
    </row>
    <row r="25">
      <c r="A25" s="14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</row>
    <row r="26" ht="32" customHeight="1">
      <c r="A26" s="50" t="inlineStr">
        <is>
          <t xml:space="preserve">PACK No. </t>
        </is>
      </c>
      <c r="B26" s="50" t="inlineStr">
        <is>
          <t>PACK</t>
        </is>
      </c>
      <c r="C26" s="17" t="inlineStr">
        <is>
          <t>Number of cartons</t>
        </is>
      </c>
      <c r="D26" s="17" t="inlineStr">
        <is>
          <t>Packs per carton</t>
        </is>
      </c>
      <c r="E26" s="17" t="inlineStr">
        <is>
          <t>Pieces Per Pack</t>
        </is>
      </c>
      <c r="F26" s="17" t="inlineStr">
        <is>
          <t>Packs per PO</t>
        </is>
      </c>
      <c r="G26" s="50" t="inlineStr">
        <is>
          <t>Total Pieces</t>
        </is>
      </c>
      <c r="H26" s="61" t="n"/>
      <c r="I26" s="61" t="n"/>
      <c r="J26" s="61" t="n"/>
      <c r="K26" s="61" t="n"/>
      <c r="L26" s="61" t="n"/>
      <c r="M26" s="61" t="n"/>
      <c r="N26" s="61" t="n"/>
      <c r="O26" s="61" t="n"/>
      <c r="P26" s="62" t="n"/>
    </row>
    <row r="27" ht="16" customHeight="1">
      <c r="A27" s="36" t="inlineStr">
        <is>
          <t>9031304160001</t>
        </is>
      </c>
      <c r="B27" s="28" t="inlineStr">
        <is>
          <t>A</t>
        </is>
      </c>
      <c r="C27" s="28" t="n">
        <v>14</v>
      </c>
      <c r="D27" s="28" t="n">
        <v>5</v>
      </c>
      <c r="E27" s="28" t="n">
        <v>10</v>
      </c>
      <c r="F27" s="28" t="n">
        <v>70</v>
      </c>
      <c r="G27" s="54">
        <f>C27*D27*E27</f>
        <v/>
      </c>
      <c r="H27" s="65" t="n"/>
      <c r="I27" s="65" t="n"/>
      <c r="J27" s="65" t="n"/>
      <c r="K27" s="65" t="n"/>
      <c r="L27" s="65" t="n"/>
      <c r="M27" s="65" t="n"/>
      <c r="N27" s="65" t="n"/>
      <c r="O27" s="65" t="n"/>
      <c r="P27" s="66" t="n"/>
    </row>
    <row r="28" ht="16" customHeight="1">
      <c r="A28" s="36" t="inlineStr">
        <is>
          <t>9031304160002</t>
        </is>
      </c>
      <c r="B28" s="28" t="inlineStr">
        <is>
          <t>B</t>
        </is>
      </c>
      <c r="C28" s="28" t="n">
        <v>5</v>
      </c>
      <c r="D28" s="28" t="n">
        <v>10</v>
      </c>
      <c r="E28" s="44" t="n">
        <v>6</v>
      </c>
      <c r="F28" s="28" t="n">
        <v>50</v>
      </c>
      <c r="G28" s="54">
        <f>C28*D28*E28</f>
        <v/>
      </c>
      <c r="H28" s="65" t="n"/>
      <c r="I28" s="65" t="n"/>
      <c r="J28" s="65" t="n"/>
      <c r="K28" s="65" t="n"/>
      <c r="L28" s="65" t="n"/>
      <c r="M28" s="65" t="n"/>
      <c r="N28" s="65" t="n"/>
      <c r="O28" s="65" t="n"/>
      <c r="P28" s="66" t="n"/>
    </row>
    <row r="29" ht="16" customHeight="1">
      <c r="A29" s="36" t="n"/>
      <c r="B29" s="28" t="n"/>
      <c r="C29" s="28" t="n"/>
      <c r="D29" s="28" t="n"/>
      <c r="E29" s="28" t="n"/>
      <c r="F29" s="28" t="n"/>
      <c r="G29" s="54">
        <f>C29*D29*E29</f>
        <v/>
      </c>
      <c r="H29" s="65" t="n"/>
      <c r="I29" s="65" t="n"/>
      <c r="J29" s="65" t="n"/>
      <c r="K29" s="65" t="n"/>
      <c r="L29" s="65" t="n"/>
      <c r="M29" s="65" t="n"/>
      <c r="N29" s="65" t="n"/>
      <c r="O29" s="65" t="n"/>
      <c r="P29" s="66" t="n"/>
    </row>
    <row r="30" ht="16" customHeight="1">
      <c r="A30" s="36" t="n"/>
      <c r="B30" s="28" t="n"/>
      <c r="C30" s="28" t="n"/>
      <c r="D30" s="28" t="n"/>
      <c r="E30" s="28" t="n"/>
      <c r="F30" s="28" t="n"/>
      <c r="G30" s="54">
        <f>C30*D30*E30</f>
        <v/>
      </c>
      <c r="H30" s="65" t="n"/>
      <c r="I30" s="65" t="n"/>
      <c r="J30" s="65" t="n"/>
      <c r="K30" s="65" t="n"/>
      <c r="L30" s="65" t="n"/>
      <c r="M30" s="65" t="n"/>
      <c r="N30" s="65" t="n"/>
      <c r="O30" s="65" t="n"/>
      <c r="P30" s="66" t="n"/>
    </row>
    <row r="31" ht="18.5" customHeight="1">
      <c r="A31" s="49">
        <f>_xlfn.CONCAT("Total = ", COUNTA(A27:A30))</f>
        <v/>
      </c>
      <c r="B31" s="30" t="n"/>
      <c r="C31" s="49">
        <f>SUM(C27:C30)</f>
        <v/>
      </c>
      <c r="D31" s="49">
        <f>SUM(D27:D30)</f>
        <v/>
      </c>
      <c r="E31" s="49">
        <f>SUM(E27:E30)</f>
        <v/>
      </c>
      <c r="F31" s="49" t="n"/>
      <c r="G31" s="49">
        <f>SUM(G27:P30)</f>
        <v/>
      </c>
      <c r="H31" s="65" t="n"/>
      <c r="I31" s="65" t="n"/>
      <c r="J31" s="65" t="n"/>
      <c r="K31" s="65" t="n"/>
      <c r="L31" s="65" t="n"/>
      <c r="M31" s="65" t="n"/>
      <c r="N31" s="65" t="n"/>
      <c r="O31" s="65" t="n"/>
      <c r="P31" s="66" t="n"/>
    </row>
    <row r="32">
      <c r="A32" s="11" t="n"/>
    </row>
    <row r="33">
      <c r="A33" s="11" t="n"/>
    </row>
    <row r="34" ht="21" customHeight="1">
      <c r="A34" s="52" t="inlineStr">
        <is>
          <t>Packing Details (Solid Pack):</t>
        </is>
      </c>
      <c r="B34" s="61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1" t="n"/>
      <c r="O34" s="61" t="n"/>
      <c r="P34" s="62" t="n"/>
    </row>
    <row r="35" ht="16" customHeight="1">
      <c r="A35" s="56" t="inlineStr">
        <is>
          <t>PACK:</t>
        </is>
      </c>
      <c r="B35" s="56" t="inlineStr">
        <is>
          <t>COLOR</t>
        </is>
      </c>
      <c r="C35" s="56" t="inlineStr">
        <is>
          <t>SIZES</t>
        </is>
      </c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1" t="n"/>
      <c r="O35" s="62" t="n"/>
      <c r="P35" s="56" t="inlineStr">
        <is>
          <t>TOTAL</t>
        </is>
      </c>
    </row>
    <row r="36">
      <c r="A36" s="55" t="inlineStr">
        <is>
          <t>C</t>
        </is>
      </c>
      <c r="B36" s="57">
        <f>+B23</f>
        <v/>
      </c>
      <c r="C36" s="41" t="inlineStr">
        <is>
          <t>ECH</t>
        </is>
      </c>
      <c r="D36" s="43" t="inlineStr">
        <is>
          <t>CH</t>
        </is>
      </c>
      <c r="E36" s="43" t="inlineStr">
        <is>
          <t>M</t>
        </is>
      </c>
      <c r="F36" s="43" t="inlineStr">
        <is>
          <t>G</t>
        </is>
      </c>
      <c r="G36" s="55" t="inlineStr">
        <is>
          <t>EG</t>
        </is>
      </c>
      <c r="H36" s="55" t="n"/>
      <c r="I36" s="27" t="n"/>
      <c r="J36" s="27" t="n"/>
      <c r="K36" s="27" t="n"/>
      <c r="L36" s="27" t="n"/>
      <c r="M36" s="27" t="n"/>
      <c r="N36" s="27" t="n"/>
      <c r="O36" s="55" t="n"/>
      <c r="P36" s="13" t="n"/>
    </row>
    <row r="37" ht="18.5" customHeight="1">
      <c r="A37" s="63" t="n"/>
      <c r="B37" s="64" t="n"/>
      <c r="C37" s="55" t="n">
        <v>8</v>
      </c>
      <c r="D37" s="55" t="n">
        <v>63</v>
      </c>
      <c r="E37" s="55" t="n">
        <v>16</v>
      </c>
      <c r="F37" s="55" t="n">
        <v>7</v>
      </c>
      <c r="G37" s="55" t="n">
        <v>8</v>
      </c>
      <c r="H37" s="55" t="n"/>
      <c r="I37" s="55" t="n"/>
      <c r="J37" s="55" t="n"/>
      <c r="K37" s="55" t="n"/>
      <c r="L37" s="55" t="n"/>
      <c r="M37" s="55" t="n"/>
      <c r="N37" s="55" t="n"/>
      <c r="O37" s="55" t="n"/>
      <c r="P37" s="38">
        <f>SUM(C37:O37)</f>
        <v/>
      </c>
    </row>
    <row r="38">
      <c r="A38" s="11" t="n"/>
    </row>
    <row r="39" ht="32" customHeight="1">
      <c r="A39" s="50" t="inlineStr">
        <is>
          <t>SKU No.</t>
        </is>
      </c>
      <c r="B39" s="50" t="inlineStr">
        <is>
          <t>PACK</t>
        </is>
      </c>
      <c r="C39" s="17" t="inlineStr">
        <is>
          <t>Number of cartons.</t>
        </is>
      </c>
      <c r="D39" s="17" t="inlineStr">
        <is>
          <t>Pieces per carton</t>
        </is>
      </c>
      <c r="E39" s="17" t="inlineStr">
        <is>
          <t>Pieces to Delivery</t>
        </is>
      </c>
      <c r="F39" s="17" t="inlineStr">
        <is>
          <t>Pieces per PO</t>
        </is>
      </c>
      <c r="G39" s="50" t="inlineStr">
        <is>
          <t>Total Pieces</t>
        </is>
      </c>
      <c r="H39" s="61" t="n"/>
      <c r="I39" s="61" t="n"/>
      <c r="J39" s="61" t="n"/>
      <c r="K39" s="61" t="n"/>
      <c r="L39" s="61" t="n"/>
      <c r="M39" s="61" t="n"/>
      <c r="N39" s="61" t="n"/>
      <c r="O39" s="61" t="n"/>
      <c r="P39" s="62" t="n"/>
    </row>
    <row r="40" ht="16" customHeight="1">
      <c r="A40" s="29" t="inlineStr">
        <is>
          <t>5924872</t>
        </is>
      </c>
      <c r="B40" s="28" t="inlineStr">
        <is>
          <t>C</t>
        </is>
      </c>
      <c r="C40" s="29" t="n">
        <v>1</v>
      </c>
      <c r="D40" s="29" t="n">
        <v>8</v>
      </c>
      <c r="E40" s="29" t="n">
        <v>8</v>
      </c>
      <c r="F40" s="29" t="n">
        <v>8</v>
      </c>
      <c r="G40" s="48">
        <f>C40*D40</f>
        <v/>
      </c>
      <c r="H40" s="65" t="n"/>
      <c r="I40" s="65" t="n"/>
      <c r="J40" s="65" t="n"/>
      <c r="K40" s="65" t="n"/>
      <c r="L40" s="65" t="n"/>
      <c r="M40" s="65" t="n"/>
      <c r="N40" s="65" t="n"/>
      <c r="O40" s="65" t="n"/>
      <c r="P40" s="66" t="n"/>
    </row>
    <row r="41" ht="16" customHeight="1">
      <c r="A41" s="29" t="inlineStr">
        <is>
          <t>5924873</t>
        </is>
      </c>
      <c r="B41" s="28" t="inlineStr">
        <is>
          <t>C</t>
        </is>
      </c>
      <c r="C41" s="29" t="n">
        <v>1</v>
      </c>
      <c r="D41" s="29" t="n">
        <v>50</v>
      </c>
      <c r="E41" s="29" t="n">
        <v>63</v>
      </c>
      <c r="F41" s="29" t="n">
        <v>66</v>
      </c>
      <c r="G41" s="48">
        <f>C41*D41</f>
        <v/>
      </c>
      <c r="H41" s="65" t="n"/>
      <c r="I41" s="65" t="n"/>
      <c r="J41" s="65" t="n"/>
      <c r="K41" s="65" t="n"/>
      <c r="L41" s="65" t="n"/>
      <c r="M41" s="65" t="n"/>
      <c r="N41" s="65" t="n"/>
      <c r="O41" s="65" t="n"/>
      <c r="P41" s="66" t="n"/>
    </row>
    <row r="42" ht="16" customHeight="1">
      <c r="A42" s="29" t="inlineStr">
        <is>
          <t>5924873</t>
        </is>
      </c>
      <c r="B42" s="28" t="inlineStr">
        <is>
          <t>C</t>
        </is>
      </c>
      <c r="C42" s="29" t="n">
        <v>1</v>
      </c>
      <c r="D42" s="29" t="n">
        <v>13</v>
      </c>
      <c r="E42" s="29" t="n">
        <v>63</v>
      </c>
      <c r="F42" s="29" t="n">
        <v>66</v>
      </c>
      <c r="G42" s="48">
        <f>C42*D42</f>
        <v/>
      </c>
      <c r="H42" s="65" t="n"/>
      <c r="I42" s="65" t="n"/>
      <c r="J42" s="65" t="n"/>
      <c r="K42" s="65" t="n"/>
      <c r="L42" s="65" t="n"/>
      <c r="M42" s="65" t="n"/>
      <c r="N42" s="65" t="n"/>
      <c r="O42" s="65" t="n"/>
      <c r="P42" s="66" t="n"/>
    </row>
    <row r="43" ht="16" customHeight="1">
      <c r="A43" s="29" t="inlineStr">
        <is>
          <t>5924874</t>
        </is>
      </c>
      <c r="B43" s="28" t="inlineStr">
        <is>
          <t>C</t>
        </is>
      </c>
      <c r="C43" s="29" t="n">
        <v>1</v>
      </c>
      <c r="D43" s="29" t="n">
        <v>16</v>
      </c>
      <c r="E43" s="29" t="n">
        <v>16</v>
      </c>
      <c r="F43" s="29" t="n">
        <v>24</v>
      </c>
      <c r="G43" s="48">
        <f>C43*D43</f>
        <v/>
      </c>
      <c r="H43" s="65" t="n"/>
      <c r="I43" s="65" t="n"/>
      <c r="J43" s="65" t="n"/>
      <c r="K43" s="65" t="n"/>
      <c r="L43" s="65" t="n"/>
      <c r="M43" s="65" t="n"/>
      <c r="N43" s="65" t="n"/>
      <c r="O43" s="65" t="n"/>
      <c r="P43" s="66" t="n"/>
    </row>
    <row r="44" ht="16" customHeight="1">
      <c r="A44" s="29" t="inlineStr">
        <is>
          <t>5924875</t>
        </is>
      </c>
      <c r="B44" s="28" t="inlineStr">
        <is>
          <t>C</t>
        </is>
      </c>
      <c r="C44" s="29" t="n">
        <v>1</v>
      </c>
      <c r="D44" s="29" t="n">
        <v>7</v>
      </c>
      <c r="E44" s="29" t="n">
        <v>7</v>
      </c>
      <c r="F44" s="29" t="n">
        <v>16</v>
      </c>
      <c r="G44" s="48">
        <f>C44*D44</f>
        <v/>
      </c>
      <c r="H44" s="65" t="n"/>
      <c r="I44" s="65" t="n"/>
      <c r="J44" s="65" t="n"/>
      <c r="K44" s="65" t="n"/>
      <c r="L44" s="65" t="n"/>
      <c r="M44" s="65" t="n"/>
      <c r="N44" s="65" t="n"/>
      <c r="O44" s="65" t="n"/>
      <c r="P44" s="66" t="n"/>
    </row>
    <row r="45" ht="16" customHeight="1">
      <c r="A45" s="29" t="inlineStr">
        <is>
          <t>5924876</t>
        </is>
      </c>
      <c r="B45" s="28" t="inlineStr">
        <is>
          <t>C</t>
        </is>
      </c>
      <c r="C45" s="29" t="n">
        <v>1</v>
      </c>
      <c r="D45" s="29" t="n">
        <v>8</v>
      </c>
      <c r="E45" s="29" t="n">
        <v>8</v>
      </c>
      <c r="F45" s="29" t="n">
        <v>8</v>
      </c>
      <c r="G45" s="48">
        <f>C45*D45</f>
        <v/>
      </c>
      <c r="H45" s="65" t="n"/>
      <c r="I45" s="65" t="n"/>
      <c r="J45" s="65" t="n"/>
      <c r="K45" s="65" t="n"/>
      <c r="L45" s="65" t="n"/>
      <c r="M45" s="65" t="n"/>
      <c r="N45" s="65" t="n"/>
      <c r="O45" s="65" t="n"/>
      <c r="P45" s="66" t="n"/>
    </row>
    <row r="46" ht="16" customHeight="1">
      <c r="A46" s="29" t="n"/>
      <c r="B46" s="28" t="n"/>
      <c r="C46" s="29" t="n"/>
      <c r="D46" s="29" t="n"/>
      <c r="E46" s="29" t="n"/>
      <c r="F46" s="29" t="n"/>
      <c r="G46" s="48">
        <f>C46*D46</f>
        <v/>
      </c>
      <c r="H46" s="65" t="n"/>
      <c r="I46" s="65" t="n"/>
      <c r="J46" s="65" t="n"/>
      <c r="K46" s="65" t="n"/>
      <c r="L46" s="65" t="n"/>
      <c r="M46" s="65" t="n"/>
      <c r="N46" s="65" t="n"/>
      <c r="O46" s="65" t="n"/>
      <c r="P46" s="66" t="n"/>
    </row>
    <row r="47" ht="16" customHeight="1">
      <c r="A47" s="29" t="n"/>
      <c r="B47" s="29" t="n"/>
      <c r="C47" s="29" t="n"/>
      <c r="D47" s="29" t="n"/>
      <c r="E47" s="29" t="n"/>
      <c r="F47" s="29" t="n"/>
      <c r="G47" s="48">
        <f>C47*D47</f>
        <v/>
      </c>
      <c r="H47" s="65" t="n"/>
      <c r="I47" s="65" t="n"/>
      <c r="J47" s="65" t="n"/>
      <c r="K47" s="65" t="n"/>
      <c r="L47" s="65" t="n"/>
      <c r="M47" s="65" t="n"/>
      <c r="N47" s="65" t="n"/>
      <c r="O47" s="65" t="n"/>
      <c r="P47" s="66" t="n"/>
    </row>
    <row r="48" ht="16" customHeight="1">
      <c r="A48" s="29" t="n"/>
      <c r="B48" s="29" t="n"/>
      <c r="C48" s="29" t="n"/>
      <c r="D48" s="29" t="n"/>
      <c r="E48" s="29" t="n"/>
      <c r="F48" s="29" t="n"/>
      <c r="G48" s="48">
        <f>C48*D48</f>
        <v/>
      </c>
      <c r="H48" s="65" t="n"/>
      <c r="I48" s="65" t="n"/>
      <c r="J48" s="65" t="n"/>
      <c r="K48" s="65" t="n"/>
      <c r="L48" s="65" t="n"/>
      <c r="M48" s="65" t="n"/>
      <c r="N48" s="65" t="n"/>
      <c r="O48" s="65" t="n"/>
      <c r="P48" s="66" t="n"/>
    </row>
    <row r="49" ht="16" customHeight="1">
      <c r="A49" s="29" t="n"/>
      <c r="B49" s="29" t="n"/>
      <c r="C49" s="29" t="n"/>
      <c r="D49" s="29" t="n"/>
      <c r="E49" s="29" t="n"/>
      <c r="F49" s="29" t="n"/>
      <c r="G49" s="48">
        <f>C49*D49</f>
        <v/>
      </c>
      <c r="H49" s="65" t="n"/>
      <c r="I49" s="65" t="n"/>
      <c r="J49" s="65" t="n"/>
      <c r="K49" s="65" t="n"/>
      <c r="L49" s="65" t="n"/>
      <c r="M49" s="65" t="n"/>
      <c r="N49" s="65" t="n"/>
      <c r="O49" s="65" t="n"/>
      <c r="P49" s="66" t="n"/>
    </row>
    <row r="50" ht="16" customHeight="1">
      <c r="A50" s="29" t="n"/>
      <c r="B50" s="29" t="n"/>
      <c r="C50" s="29" t="n"/>
      <c r="D50" s="29" t="n"/>
      <c r="E50" s="29" t="n"/>
      <c r="F50" s="29" t="n"/>
      <c r="G50" s="48">
        <f>C50*D50</f>
        <v/>
      </c>
      <c r="H50" s="65" t="n"/>
      <c r="I50" s="65" t="n"/>
      <c r="J50" s="65" t="n"/>
      <c r="K50" s="65" t="n"/>
      <c r="L50" s="65" t="n"/>
      <c r="M50" s="65" t="n"/>
      <c r="N50" s="65" t="n"/>
      <c r="O50" s="65" t="n"/>
      <c r="P50" s="66" t="n"/>
    </row>
    <row r="51" ht="16" customHeight="1">
      <c r="A51" s="29" t="n"/>
      <c r="B51" s="29" t="n"/>
      <c r="C51" s="29" t="n"/>
      <c r="D51" s="29" t="n"/>
      <c r="E51" s="29" t="n"/>
      <c r="F51" s="29" t="n"/>
      <c r="G51" s="48">
        <f>C51*D51</f>
        <v/>
      </c>
      <c r="H51" s="65" t="n"/>
      <c r="I51" s="65" t="n"/>
      <c r="J51" s="65" t="n"/>
      <c r="K51" s="65" t="n"/>
      <c r="L51" s="65" t="n"/>
      <c r="M51" s="65" t="n"/>
      <c r="N51" s="65" t="n"/>
      <c r="O51" s="65" t="n"/>
      <c r="P51" s="66" t="n"/>
    </row>
    <row r="52" ht="16" customHeight="1">
      <c r="A52" s="29" t="n"/>
      <c r="B52" s="29" t="n"/>
      <c r="C52" s="29" t="n"/>
      <c r="D52" s="29" t="n"/>
      <c r="E52" s="29" t="n"/>
      <c r="F52" s="29" t="n"/>
      <c r="G52" s="48">
        <f>C52*D52</f>
        <v/>
      </c>
      <c r="H52" s="65" t="n"/>
      <c r="I52" s="65" t="n"/>
      <c r="J52" s="65" t="n"/>
      <c r="K52" s="65" t="n"/>
      <c r="L52" s="65" t="n"/>
      <c r="M52" s="65" t="n"/>
      <c r="N52" s="65" t="n"/>
      <c r="O52" s="65" t="n"/>
      <c r="P52" s="66" t="n"/>
    </row>
    <row r="53" ht="16" customHeight="1">
      <c r="A53" s="29" t="n"/>
      <c r="B53" s="29" t="n"/>
      <c r="C53" s="29" t="n"/>
      <c r="D53" s="29" t="n"/>
      <c r="E53" s="29" t="n"/>
      <c r="F53" s="29" t="n"/>
      <c r="G53" s="48">
        <f>C53*D53</f>
        <v/>
      </c>
      <c r="H53" s="65" t="n"/>
      <c r="I53" s="65" t="n"/>
      <c r="J53" s="65" t="n"/>
      <c r="K53" s="65" t="n"/>
      <c r="L53" s="65" t="n"/>
      <c r="M53" s="65" t="n"/>
      <c r="N53" s="65" t="n"/>
      <c r="O53" s="65" t="n"/>
      <c r="P53" s="66" t="n"/>
    </row>
    <row r="54" ht="16" customHeight="1">
      <c r="A54" s="29" t="n"/>
      <c r="B54" s="29" t="n"/>
      <c r="C54" s="29" t="n"/>
      <c r="D54" s="29" t="n"/>
      <c r="E54" s="29" t="n"/>
      <c r="F54" s="29" t="n"/>
      <c r="G54" s="48">
        <f>C54*D54</f>
        <v/>
      </c>
      <c r="H54" s="65" t="n"/>
      <c r="I54" s="65" t="n"/>
      <c r="J54" s="65" t="n"/>
      <c r="K54" s="65" t="n"/>
      <c r="L54" s="65" t="n"/>
      <c r="M54" s="65" t="n"/>
      <c r="N54" s="65" t="n"/>
      <c r="O54" s="65" t="n"/>
      <c r="P54" s="66" t="n"/>
    </row>
    <row r="55" ht="16" customHeight="1">
      <c r="A55" s="29" t="n"/>
      <c r="B55" s="29" t="n"/>
      <c r="C55" s="29" t="n"/>
      <c r="D55" s="29" t="n"/>
      <c r="E55" s="29" t="n"/>
      <c r="F55" s="29" t="n"/>
      <c r="G55" s="48">
        <f>C55*D55</f>
        <v/>
      </c>
      <c r="H55" s="65" t="n"/>
      <c r="I55" s="65" t="n"/>
      <c r="J55" s="65" t="n"/>
      <c r="K55" s="65" t="n"/>
      <c r="L55" s="65" t="n"/>
      <c r="M55" s="65" t="n"/>
      <c r="N55" s="65" t="n"/>
      <c r="O55" s="65" t="n"/>
      <c r="P55" s="66" t="n"/>
    </row>
    <row r="56" ht="16" customHeight="1">
      <c r="A56" s="45" t="n"/>
      <c r="B56" s="46" t="inlineStr">
        <is>
          <t>MIXED</t>
        </is>
      </c>
      <c r="C56" s="48" t="n"/>
      <c r="D56" s="45" t="n"/>
      <c r="E56" s="45" t="n"/>
      <c r="F56" s="48" t="n"/>
      <c r="G56" s="48">
        <f>E56</f>
        <v/>
      </c>
      <c r="H56" s="65" t="n"/>
      <c r="I56" s="65" t="n"/>
      <c r="J56" s="65" t="n"/>
      <c r="K56" s="65" t="n"/>
      <c r="L56" s="65" t="n"/>
      <c r="M56" s="65" t="n"/>
      <c r="N56" s="65" t="n"/>
      <c r="O56" s="65" t="n"/>
      <c r="P56" s="66" t="n"/>
    </row>
    <row r="57" ht="16" customHeight="1">
      <c r="A57" s="45" t="n"/>
      <c r="B57" s="46" t="inlineStr">
        <is>
          <t>MIXED</t>
        </is>
      </c>
      <c r="C57" s="48" t="n"/>
      <c r="D57" s="45" t="n"/>
      <c r="E57" s="45" t="n"/>
      <c r="F57" s="48" t="n"/>
      <c r="G57" s="48">
        <f>E57</f>
        <v/>
      </c>
      <c r="H57" s="65" t="n"/>
      <c r="I57" s="65" t="n"/>
      <c r="J57" s="65" t="n"/>
      <c r="K57" s="65" t="n"/>
      <c r="L57" s="65" t="n"/>
      <c r="M57" s="65" t="n"/>
      <c r="N57" s="65" t="n"/>
      <c r="O57" s="65" t="n"/>
      <c r="P57" s="66" t="n"/>
    </row>
    <row r="58" ht="16" customHeight="1">
      <c r="A58" s="45" t="n"/>
      <c r="B58" s="46" t="inlineStr">
        <is>
          <t>MIXED</t>
        </is>
      </c>
      <c r="C58" s="48" t="n"/>
      <c r="D58" s="45" t="n"/>
      <c r="E58" s="45" t="n"/>
      <c r="F58" s="48" t="n"/>
      <c r="G58" s="48">
        <f>E58</f>
        <v/>
      </c>
      <c r="H58" s="65" t="n"/>
      <c r="I58" s="65" t="n"/>
      <c r="J58" s="65" t="n"/>
      <c r="K58" s="65" t="n"/>
      <c r="L58" s="65" t="n"/>
      <c r="M58" s="65" t="n"/>
      <c r="N58" s="65" t="n"/>
      <c r="O58" s="65" t="n"/>
      <c r="P58" s="66" t="n"/>
    </row>
    <row r="59" ht="18.5" customHeight="1">
      <c r="A59" s="49">
        <f>_xlfn.CONCAT("Total = ", COUNTA(A40:A55))</f>
        <v/>
      </c>
      <c r="B59" s="30" t="n"/>
      <c r="C59" s="49">
        <f>SUM(C40:C58)</f>
        <v/>
      </c>
      <c r="D59" s="49">
        <f>SUM(D40:D58)</f>
        <v/>
      </c>
      <c r="E59" s="49">
        <f>SUM(E40:E58)</f>
        <v/>
      </c>
      <c r="F59" s="49" t="n"/>
      <c r="G59" s="49">
        <f>SUM(G40:P58)</f>
        <v/>
      </c>
      <c r="H59" s="65" t="n"/>
      <c r="I59" s="65" t="n"/>
      <c r="J59" s="65" t="n"/>
      <c r="K59" s="65" t="n"/>
      <c r="L59" s="65" t="n"/>
      <c r="M59" s="65" t="n"/>
      <c r="N59" s="65" t="n"/>
      <c r="O59" s="65" t="n"/>
      <c r="P59" s="66" t="n"/>
    </row>
    <row r="60">
      <c r="A60" s="11" t="n"/>
    </row>
    <row r="61">
      <c r="A61" s="11" t="n"/>
    </row>
    <row r="62" ht="21" customHeight="1">
      <c r="A62" s="18" t="inlineStr">
        <is>
          <t>Packing Summary:</t>
        </is>
      </c>
      <c r="B62" s="18" t="n"/>
    </row>
    <row r="63" ht="21" customHeight="1">
      <c r="A63" s="19" t="inlineStr">
        <is>
          <t>Total No. of Packs:</t>
        </is>
      </c>
      <c r="B63" s="67">
        <f>SUM(COUNTA(A40:A55), COUNTA(A27:A30))</f>
        <v/>
      </c>
    </row>
    <row r="64" ht="21" customHeight="1">
      <c r="A64" s="19" t="inlineStr">
        <is>
          <t>Total carton:</t>
        </is>
      </c>
      <c r="B64" s="67">
        <f>SUM(C31+C59)</f>
        <v/>
      </c>
    </row>
    <row r="65" ht="21" customHeight="1">
      <c r="A65" s="19" t="inlineStr">
        <is>
          <t>Total packs per carton:</t>
        </is>
      </c>
      <c r="B65" s="67">
        <f>SUM(D31+D59)</f>
        <v/>
      </c>
    </row>
    <row r="66" ht="21" customHeight="1">
      <c r="A66" s="19" t="inlineStr">
        <is>
          <t>Total pcs per pack:</t>
        </is>
      </c>
      <c r="B66" s="67">
        <f>SUM(E59+E31)</f>
        <v/>
      </c>
    </row>
    <row r="67" ht="21" customHeight="1">
      <c r="A67" s="19" t="inlineStr">
        <is>
          <t>Total Quantity:</t>
        </is>
      </c>
      <c r="B67" s="67">
        <f>SUM(G31+G59)</f>
        <v/>
      </c>
    </row>
    <row r="68">
      <c r="A68" s="11" t="n"/>
    </row>
    <row r="69">
      <c r="A69" s="11" t="n"/>
    </row>
    <row r="70">
      <c r="A70" s="11" t="n"/>
    </row>
    <row r="71">
      <c r="A71" s="11" t="n"/>
    </row>
    <row r="72">
      <c r="A72" s="11" t="n"/>
    </row>
    <row r="73">
      <c r="A73" s="11" t="n"/>
    </row>
    <row r="74">
      <c r="A74" s="20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2" t="n"/>
    </row>
  </sheetData>
  <mergeCells count="42">
    <mergeCell ref="I5:O5"/>
    <mergeCell ref="G45:P45"/>
    <mergeCell ref="A14:P14"/>
    <mergeCell ref="B18:B19"/>
    <mergeCell ref="G55:P55"/>
    <mergeCell ref="G26:P26"/>
    <mergeCell ref="C17:O17"/>
    <mergeCell ref="G29:P29"/>
    <mergeCell ref="A36:A37"/>
    <mergeCell ref="G51:P51"/>
    <mergeCell ref="G47:P47"/>
    <mergeCell ref="G54:P54"/>
    <mergeCell ref="G50:P50"/>
    <mergeCell ref="B23:B24"/>
    <mergeCell ref="G41:P41"/>
    <mergeCell ref="G44:P44"/>
    <mergeCell ref="G31:P31"/>
    <mergeCell ref="G46:P46"/>
    <mergeCell ref="G40:P40"/>
    <mergeCell ref="G56:P56"/>
    <mergeCell ref="A34:P34"/>
    <mergeCell ref="G52:P52"/>
    <mergeCell ref="G59:P59"/>
    <mergeCell ref="G43:P43"/>
    <mergeCell ref="A18:A19"/>
    <mergeCell ref="G42:P42"/>
    <mergeCell ref="G27:P27"/>
    <mergeCell ref="A1:P1"/>
    <mergeCell ref="B36:B37"/>
    <mergeCell ref="G39:P39"/>
    <mergeCell ref="C35:O35"/>
    <mergeCell ref="G48:P48"/>
    <mergeCell ref="A23:A24"/>
    <mergeCell ref="A16:P16"/>
    <mergeCell ref="G28:P28"/>
    <mergeCell ref="G57:P57"/>
    <mergeCell ref="C22:O22"/>
    <mergeCell ref="G53:P53"/>
    <mergeCell ref="G49:P49"/>
    <mergeCell ref="G30:P30"/>
    <mergeCell ref="A21:P21"/>
    <mergeCell ref="G58:P58"/>
  </mergeCells>
  <pageMargins left="0.7" right="0.7" top="0.75" bottom="0.75" header="0.3" footer="0.3"/>
  <pageSetup orientation="portrait" scale="63" fitToHeight="0"/>
  <headerFooter>
    <oddHeader/>
    <oddFooter>&amp;C&amp;"Calibri"&amp;10 &amp;K000000_x000d_# Internal use only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Shahed HOSSAN</dc:creator>
  <dcterms:created xmlns:dcterms="http://purl.org/dc/terms/" xmlns:xsi="http://www.w3.org/2001/XMLSchema-instance" xsi:type="dcterms:W3CDTF">2025-09-23T03:48:42Z</dcterms:created>
  <dcterms:modified xmlns:dcterms="http://purl.org/dc/terms/" xmlns:xsi="http://www.w3.org/2001/XMLSchema-instance" xsi:type="dcterms:W3CDTF">2026-08-20T22:02:09Z</dcterms:modified>
  <cp:lastModifiedBy>Eva Padilla | Procurement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0x010100E634DA3129D02947B0791360C01BF24D</vt:lpwstr>
  </property>
  <property name="MediaServiceImageTags" fmtid="{D5CDD505-2E9C-101B-9397-08002B2CF9AE}" pid="3">
    <vt:lpwstr xmlns:vt="http://schemas.openxmlformats.org/officeDocument/2006/docPropsVTypes"/>
  </property>
</Properties>
</file>